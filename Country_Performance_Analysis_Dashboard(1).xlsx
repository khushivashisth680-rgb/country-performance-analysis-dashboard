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2.xml" ContentType="application/vnd.openxmlformats-officedocument.spreadsheetml.pivotTab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3.xml" ContentType="application/vnd.openxmlformats-officedocument.spreadsheetml.pivotTab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4.xml" ContentType="application/vnd.openxmlformats-officedocument.spreadsheetml.pivotTable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5.xml" ContentType="application/vnd.openxmlformats-officedocument.spreadsheetml.pivotTable+xml"/>
  <Override PartName="/xl/drawings/drawing6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6.xml" ContentType="application/vnd.openxmlformats-officedocument.spreadsheetml.pivotTable+xml"/>
  <Override PartName="/xl/drawings/drawing7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0371A786C4D7A35A/Documents/"/>
    </mc:Choice>
  </mc:AlternateContent>
  <xr:revisionPtr revIDLastSave="479" documentId="8_{F9F56C52-A2D7-4FE6-B158-01C929885F69}" xr6:coauthVersionLast="47" xr6:coauthVersionMax="47" xr10:uidLastSave="{23DE1FFA-184B-4F85-9DE7-A80D38A71114}"/>
  <bookViews>
    <workbookView xWindow="0" yWindow="3360" windowWidth="23040" windowHeight="8880" activeTab="1" xr2:uid="{00000000-000D-0000-FFFF-FFFF00000000}"/>
  </bookViews>
  <sheets>
    <sheet name="Dashboard" sheetId="36" r:id="rId1"/>
    <sheet name="📋 Raw Data" sheetId="27" r:id="rId2"/>
    <sheet name="Total Score" sheetId="30" r:id="rId3"/>
    <sheet name="📊 C Analysis" sheetId="31" r:id="rId4"/>
    <sheet name="📊 E Analysis" sheetId="32" r:id="rId5"/>
    <sheet name="📊 P Analysis" sheetId="33" r:id="rId6"/>
    <sheet name="📊 S Analysis" sheetId="34" r:id="rId7"/>
    <sheet name="📊 X1 Analysis &amp; Final Analysis" sheetId="35" r:id="rId8"/>
  </sheets>
  <definedNames>
    <definedName name="_xlnm._FilterDatabase" localSheetId="1" hidden="1">'📋 Raw Data'!$U$1:$AE$11</definedName>
    <definedName name="_xlnm.Print_Area" localSheetId="1">'📋 Raw Data'!$A$1:$P$178</definedName>
    <definedName name="_xlnm.Print_Titles" localSheetId="1">'📋 Raw Data'!$1:$1</definedName>
  </definedNames>
  <calcPr calcId="191029"/>
  <pivotCaches>
    <pivotCache cacheId="1" r:id="rId9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3" i="35" l="1"/>
  <c r="A11" i="35"/>
  <c r="AD11" i="27"/>
  <c r="AC11" i="27"/>
  <c r="AB11" i="27"/>
  <c r="AD9" i="27"/>
  <c r="AC9" i="27"/>
  <c r="AB9" i="27"/>
  <c r="AM7" i="27"/>
  <c r="AL7" i="27"/>
  <c r="AK7" i="27"/>
  <c r="AJ7" i="27"/>
  <c r="AI7" i="27"/>
  <c r="AH7" i="27"/>
  <c r="AG7" i="27"/>
  <c r="AF7" i="27"/>
  <c r="AE7" i="27"/>
  <c r="AD7" i="27"/>
  <c r="AC7" i="27"/>
  <c r="AB7" i="27"/>
  <c r="AM5" i="27"/>
  <c r="AL5" i="27"/>
  <c r="AK5" i="27"/>
  <c r="AJ5" i="27"/>
  <c r="AI5" i="27"/>
  <c r="AH5" i="27"/>
  <c r="AG5" i="27"/>
  <c r="AF5" i="27"/>
  <c r="AE5" i="27"/>
  <c r="AD5" i="27"/>
  <c r="AC5" i="27"/>
  <c r="AB5" i="27"/>
  <c r="AM3" i="27"/>
  <c r="AL3" i="27"/>
  <c r="AK3" i="27"/>
  <c r="AJ3" i="27"/>
  <c r="AI3" i="27"/>
  <c r="AH3" i="27"/>
  <c r="AG3" i="27"/>
  <c r="AF3" i="27"/>
  <c r="AE3" i="27"/>
  <c r="AD3" i="27"/>
  <c r="AC3" i="27"/>
  <c r="AB3" i="27"/>
  <c r="A8" i="33"/>
  <c r="A9" i="35"/>
  <c r="A7" i="32"/>
  <c r="A6" i="32"/>
  <c r="U2" i="27"/>
  <c r="V2" i="27"/>
  <c r="W2" i="27"/>
  <c r="X2" i="27"/>
  <c r="U3" i="27"/>
  <c r="V3" i="27"/>
  <c r="W3" i="27"/>
  <c r="U4" i="27"/>
  <c r="V4" i="27"/>
  <c r="W4" i="27"/>
  <c r="U5" i="27"/>
  <c r="V5" i="27"/>
  <c r="W5" i="27"/>
  <c r="U6" i="27"/>
  <c r="V6" i="27"/>
  <c r="W6" i="27"/>
  <c r="U7" i="27"/>
  <c r="V7" i="27"/>
  <c r="W7" i="27"/>
  <c r="U8" i="27"/>
  <c r="V8" i="27"/>
  <c r="W8" i="27"/>
  <c r="U9" i="27"/>
  <c r="V9" i="27"/>
  <c r="W9" i="27"/>
  <c r="U10" i="27"/>
  <c r="V10" i="27"/>
  <c r="W10" i="27"/>
  <c r="U11" i="27"/>
  <c r="V11" i="27"/>
  <c r="W11" i="27"/>
  <c r="AA2" i="27"/>
  <c r="Y2" i="27"/>
  <c r="Z2" i="27"/>
  <c r="D182" i="27"/>
  <c r="D180" i="27"/>
  <c r="D181" i="27"/>
  <c r="D179" i="27"/>
</calcChain>
</file>

<file path=xl/sharedStrings.xml><?xml version="1.0" encoding="utf-8"?>
<sst xmlns="http://schemas.openxmlformats.org/spreadsheetml/2006/main" count="507" uniqueCount="427">
  <si>
    <t>Somalia</t>
  </si>
  <si>
    <t>Sudan</t>
  </si>
  <si>
    <t>Zimbabwe</t>
  </si>
  <si>
    <t>Chad</t>
  </si>
  <si>
    <t>Iraq</t>
  </si>
  <si>
    <t>Cote d'Ivoire</t>
  </si>
  <si>
    <t>Pakistan</t>
  </si>
  <si>
    <t>Central African Republic</t>
  </si>
  <si>
    <t>Guinea</t>
  </si>
  <si>
    <t>Bangladesh</t>
  </si>
  <si>
    <t>Haiti</t>
  </si>
  <si>
    <t>North Korea</t>
  </si>
  <si>
    <t>Uganda</t>
  </si>
  <si>
    <t>Ethiopia</t>
  </si>
  <si>
    <t>Nigeria</t>
  </si>
  <si>
    <t>Lebanon</t>
  </si>
  <si>
    <t>Sri Lanka</t>
  </si>
  <si>
    <t>Yemen</t>
  </si>
  <si>
    <t>Niger</t>
  </si>
  <si>
    <t>Nepal</t>
  </si>
  <si>
    <t>Burundi</t>
  </si>
  <si>
    <t>Timor-Leste</t>
  </si>
  <si>
    <t>Uzbekistan</t>
  </si>
  <si>
    <t>Kenya</t>
  </si>
  <si>
    <t>Malawi</t>
  </si>
  <si>
    <t>Solomon Islands</t>
  </si>
  <si>
    <t>Sierra Leone</t>
  </si>
  <si>
    <t>Guinea Bissau</t>
  </si>
  <si>
    <t>Cameroon</t>
  </si>
  <si>
    <t>Liberia</t>
  </si>
  <si>
    <t>Syria</t>
  </si>
  <si>
    <t>Burkina Faso</t>
  </si>
  <si>
    <t>Colombia</t>
  </si>
  <si>
    <t>Tajikistan</t>
  </si>
  <si>
    <t>Egypt</t>
  </si>
  <si>
    <t>Laos</t>
  </si>
  <si>
    <t>Rwanda</t>
  </si>
  <si>
    <t>Equatorial Guinea</t>
  </si>
  <si>
    <t>Eritrea</t>
  </si>
  <si>
    <t>Togo</t>
  </si>
  <si>
    <t>Turkmenistan</t>
  </si>
  <si>
    <t>Mauritania</t>
  </si>
  <si>
    <t>Cambodia</t>
  </si>
  <si>
    <t>Moldova</t>
  </si>
  <si>
    <t>Iran</t>
  </si>
  <si>
    <t>Bhutan</t>
  </si>
  <si>
    <t>Papua New Guinea</t>
  </si>
  <si>
    <t>Belarus</t>
  </si>
  <si>
    <t>Bolivia</t>
  </si>
  <si>
    <t>Angola</t>
  </si>
  <si>
    <t>Georgia</t>
  </si>
  <si>
    <t>Philippines</t>
  </si>
  <si>
    <t>Indonesia</t>
  </si>
  <si>
    <t>Lesotho</t>
  </si>
  <si>
    <t>Nicaragua</t>
  </si>
  <si>
    <t>Zambia</t>
  </si>
  <si>
    <t>Azerbaijan</t>
  </si>
  <si>
    <t>Cape Verde</t>
  </si>
  <si>
    <t>Guatemala</t>
  </si>
  <si>
    <t>Maldives</t>
  </si>
  <si>
    <t>China</t>
  </si>
  <si>
    <t>Ecuador</t>
  </si>
  <si>
    <t xml:space="preserve">Serbia  </t>
  </si>
  <si>
    <t>Swaziland</t>
  </si>
  <si>
    <t>Djibouti</t>
  </si>
  <si>
    <t>Russia</t>
  </si>
  <si>
    <t>Comoros</t>
  </si>
  <si>
    <t>Tanzania</t>
  </si>
  <si>
    <t>Cuba</t>
  </si>
  <si>
    <t>Dominican Republic</t>
  </si>
  <si>
    <t>Venezuela</t>
  </si>
  <si>
    <t>Algeria</t>
  </si>
  <si>
    <t>Peru</t>
  </si>
  <si>
    <t>Jordan</t>
  </si>
  <si>
    <t>Saudi Arabia</t>
  </si>
  <si>
    <t>Gambia</t>
  </si>
  <si>
    <t>Mozambique</t>
  </si>
  <si>
    <t>Madagascar</t>
  </si>
  <si>
    <t>Fiji</t>
  </si>
  <si>
    <t>Morocco</t>
  </si>
  <si>
    <t>Thailand</t>
  </si>
  <si>
    <t>Mali</t>
  </si>
  <si>
    <t>El Salvador</t>
  </si>
  <si>
    <t>Turkey</t>
  </si>
  <si>
    <t>Gabon</t>
  </si>
  <si>
    <t>Honduras</t>
  </si>
  <si>
    <t>Vietnam</t>
  </si>
  <si>
    <t>Macedonia</t>
  </si>
  <si>
    <t>Micronesia</t>
  </si>
  <si>
    <t>Namibia</t>
  </si>
  <si>
    <t>India</t>
  </si>
  <si>
    <t>Benin</t>
  </si>
  <si>
    <t>Suriname</t>
  </si>
  <si>
    <t>Samoa</t>
  </si>
  <si>
    <t>Kazakhstan</t>
  </si>
  <si>
    <t>Paraguay</t>
  </si>
  <si>
    <t>Guyana</t>
  </si>
  <si>
    <t>Mexico</t>
  </si>
  <si>
    <t>Senegal</t>
  </si>
  <si>
    <t>Ukraine</t>
  </si>
  <si>
    <t>Armenia</t>
  </si>
  <si>
    <t>Belize</t>
  </si>
  <si>
    <t>Libya</t>
  </si>
  <si>
    <t>Cyprus</t>
  </si>
  <si>
    <t>Seychelles</t>
  </si>
  <si>
    <t>Grenada</t>
  </si>
  <si>
    <t>Brazil</t>
  </si>
  <si>
    <t>Malaysia</t>
  </si>
  <si>
    <t>Botswana</t>
  </si>
  <si>
    <t>Jamaica</t>
  </si>
  <si>
    <t>Tunisia</t>
  </si>
  <si>
    <t>Ghana</t>
  </si>
  <si>
    <t>Antigua and Barbuda</t>
  </si>
  <si>
    <t>South Africa</t>
  </si>
  <si>
    <t>Kuwait</t>
  </si>
  <si>
    <t>Bahamas</t>
  </si>
  <si>
    <t>Romania</t>
  </si>
  <si>
    <t>Croatia</t>
  </si>
  <si>
    <t>Panama</t>
  </si>
  <si>
    <t>Bulgaria</t>
  </si>
  <si>
    <t>Barbados</t>
  </si>
  <si>
    <t>Mongolia</t>
  </si>
  <si>
    <t>Bahrain</t>
  </si>
  <si>
    <t>Montenegro</t>
  </si>
  <si>
    <t>Latvia</t>
  </si>
  <si>
    <t>Qatar</t>
  </si>
  <si>
    <t>United Arab Emirates</t>
  </si>
  <si>
    <t>Estonia</t>
  </si>
  <si>
    <t>Hungary</t>
  </si>
  <si>
    <t>Costa Rica</t>
  </si>
  <si>
    <t>Lithuania</t>
  </si>
  <si>
    <t>Malta</t>
  </si>
  <si>
    <t>Poland</t>
  </si>
  <si>
    <t>Oman</t>
  </si>
  <si>
    <t>Greece</t>
  </si>
  <si>
    <t>Mauritius</t>
  </si>
  <si>
    <t>Czech Republic</t>
  </si>
  <si>
    <t>Spain</t>
  </si>
  <si>
    <t>Argentina</t>
  </si>
  <si>
    <t>Uruguay</t>
  </si>
  <si>
    <t>South Korea</t>
  </si>
  <si>
    <t>Italy</t>
  </si>
  <si>
    <t>Germany</t>
  </si>
  <si>
    <t>Slovenia</t>
  </si>
  <si>
    <t>Chile</t>
  </si>
  <si>
    <t>Singapore</t>
  </si>
  <si>
    <t>United Kingdom</t>
  </si>
  <si>
    <t>Portugal</t>
  </si>
  <si>
    <t>Japan</t>
  </si>
  <si>
    <t>Belgium</t>
  </si>
  <si>
    <t>Luxembourg</t>
  </si>
  <si>
    <t>Netherlands</t>
  </si>
  <si>
    <t>Canada</t>
  </si>
  <si>
    <t>Austria</t>
  </si>
  <si>
    <t>Australia</t>
  </si>
  <si>
    <t>Denmark</t>
  </si>
  <si>
    <t>New Zealand</t>
  </si>
  <si>
    <t>Iceland</t>
  </si>
  <si>
    <t>Switzerland</t>
  </si>
  <si>
    <t>Ireland</t>
  </si>
  <si>
    <t>Sweden</t>
  </si>
  <si>
    <t>Finland</t>
  </si>
  <si>
    <t>Norway</t>
  </si>
  <si>
    <t>Bosnia and Herzegovina</t>
  </si>
  <si>
    <t>Total</t>
  </si>
  <si>
    <t>Trinidad and Tobago</t>
  </si>
  <si>
    <t>Myanmar</t>
  </si>
  <si>
    <t>Sao Tome and Principe</t>
  </si>
  <si>
    <t>United States</t>
  </si>
  <si>
    <t>Kyrgyz Republic</t>
  </si>
  <si>
    <t>E2: Economic Inequality</t>
  </si>
  <si>
    <t>E3: Human Flight and Brain Drain</t>
  </si>
  <si>
    <t>S1: Demographic Pressures</t>
  </si>
  <si>
    <t>S2: Refugees and IDPs</t>
  </si>
  <si>
    <t>P1: State Legitimacy</t>
  </si>
  <si>
    <t>P2: Public Services</t>
  </si>
  <si>
    <t>P3: Human Rights</t>
  </si>
  <si>
    <t>C1: Security Apparatus</t>
  </si>
  <si>
    <t>C2: Factionalized Elites</t>
  </si>
  <si>
    <t>Rank</t>
  </si>
  <si>
    <t>Country</t>
  </si>
  <si>
    <t>Year</t>
  </si>
  <si>
    <t>Israel and West Bank</t>
  </si>
  <si>
    <t>Congo Republic</t>
  </si>
  <si>
    <t>Congo Democratic Republic</t>
  </si>
  <si>
    <t>9th</t>
  </si>
  <si>
    <t>8th</t>
  </si>
  <si>
    <t>7th</t>
  </si>
  <si>
    <t>6th</t>
  </si>
  <si>
    <t>10th</t>
  </si>
  <si>
    <t>11th</t>
  </si>
  <si>
    <t>124th</t>
  </si>
  <si>
    <t>125th</t>
  </si>
  <si>
    <t>123rd</t>
  </si>
  <si>
    <t>119th</t>
  </si>
  <si>
    <t>118th</t>
  </si>
  <si>
    <t>121st</t>
  </si>
  <si>
    <t>109th</t>
  </si>
  <si>
    <t>112th</t>
  </si>
  <si>
    <t>110th</t>
  </si>
  <si>
    <t>94th</t>
  </si>
  <si>
    <t>76th</t>
  </si>
  <si>
    <t>71st</t>
  </si>
  <si>
    <t>73rd</t>
  </si>
  <si>
    <t>81st</t>
  </si>
  <si>
    <t>80th</t>
  </si>
  <si>
    <t>88th</t>
  </si>
  <si>
    <t>72nd</t>
  </si>
  <si>
    <t>61st</t>
  </si>
  <si>
    <t>43rd</t>
  </si>
  <si>
    <t>48th</t>
  </si>
  <si>
    <t>52nd</t>
  </si>
  <si>
    <t>59th</t>
  </si>
  <si>
    <t>55th</t>
  </si>
  <si>
    <t>56th</t>
  </si>
  <si>
    <t>53rd</t>
  </si>
  <si>
    <t>127th</t>
  </si>
  <si>
    <t>129th</t>
  </si>
  <si>
    <t>128th</t>
  </si>
  <si>
    <t>126th</t>
  </si>
  <si>
    <t>120th</t>
  </si>
  <si>
    <t>140th</t>
  </si>
  <si>
    <t>141st</t>
  </si>
  <si>
    <t>144th</t>
  </si>
  <si>
    <t>145th</t>
  </si>
  <si>
    <t>148th</t>
  </si>
  <si>
    <t>151st</t>
  </si>
  <si>
    <t>149th</t>
  </si>
  <si>
    <t>122nd</t>
  </si>
  <si>
    <t>108th</t>
  </si>
  <si>
    <t>104th</t>
  </si>
  <si>
    <t>105th</t>
  </si>
  <si>
    <t>102nd</t>
  </si>
  <si>
    <t>101st</t>
  </si>
  <si>
    <t>111th</t>
  </si>
  <si>
    <t>89th</t>
  </si>
  <si>
    <t>172nd</t>
  </si>
  <si>
    <t>170th</t>
  </si>
  <si>
    <t>169th</t>
  </si>
  <si>
    <t>165th</t>
  </si>
  <si>
    <t>167th</t>
  </si>
  <si>
    <t>168th</t>
  </si>
  <si>
    <t>166th</t>
  </si>
  <si>
    <t>136th</t>
  </si>
  <si>
    <t>62nd</t>
  </si>
  <si>
    <t>50th</t>
  </si>
  <si>
    <t>137th</t>
  </si>
  <si>
    <t>134th</t>
  </si>
  <si>
    <t>133rd</t>
  </si>
  <si>
    <t>132nd</t>
  </si>
  <si>
    <t>130th</t>
  </si>
  <si>
    <t>51st</t>
  </si>
  <si>
    <t>36th</t>
  </si>
  <si>
    <t>32nd</t>
  </si>
  <si>
    <t>29th</t>
  </si>
  <si>
    <t>25th</t>
  </si>
  <si>
    <t>24th</t>
  </si>
  <si>
    <t>18th</t>
  </si>
  <si>
    <t>12th</t>
  </si>
  <si>
    <t>16th</t>
  </si>
  <si>
    <t>19th</t>
  </si>
  <si>
    <t>17th</t>
  </si>
  <si>
    <t>139th</t>
  </si>
  <si>
    <t>138th</t>
  </si>
  <si>
    <t>135th</t>
  </si>
  <si>
    <t>131st</t>
  </si>
  <si>
    <t>90th</t>
  </si>
  <si>
    <t>85th</t>
  </si>
  <si>
    <t>82nd</t>
  </si>
  <si>
    <t>66th</t>
  </si>
  <si>
    <t>164th</t>
  </si>
  <si>
    <t>163rd</t>
  </si>
  <si>
    <t>159th</t>
  </si>
  <si>
    <t>162nd</t>
  </si>
  <si>
    <t>116th</t>
  </si>
  <si>
    <t>114th</t>
  </si>
  <si>
    <t>113th</t>
  </si>
  <si>
    <t>74th</t>
  </si>
  <si>
    <t>78th</t>
  </si>
  <si>
    <t>93rd</t>
  </si>
  <si>
    <t>97th</t>
  </si>
  <si>
    <t>100th</t>
  </si>
  <si>
    <t>103rd</t>
  </si>
  <si>
    <t>47th</t>
  </si>
  <si>
    <t>39th</t>
  </si>
  <si>
    <t>26th</t>
  </si>
  <si>
    <t>75th</t>
  </si>
  <si>
    <t>70th</t>
  </si>
  <si>
    <t>69th</t>
  </si>
  <si>
    <t>60th</t>
  </si>
  <si>
    <t>54th</t>
  </si>
  <si>
    <t>35th</t>
  </si>
  <si>
    <t>21st</t>
  </si>
  <si>
    <t>96th</t>
  </si>
  <si>
    <t>41st</t>
  </si>
  <si>
    <t>33rd</t>
  </si>
  <si>
    <t>30th</t>
  </si>
  <si>
    <t>15th</t>
  </si>
  <si>
    <t>20th</t>
  </si>
  <si>
    <t>23rd</t>
  </si>
  <si>
    <t>46th</t>
  </si>
  <si>
    <t>40th</t>
  </si>
  <si>
    <t>38th</t>
  </si>
  <si>
    <t>22nd</t>
  </si>
  <si>
    <t>28th</t>
  </si>
  <si>
    <t>27th</t>
  </si>
  <si>
    <t>91st</t>
  </si>
  <si>
    <t>84th</t>
  </si>
  <si>
    <t>3rd</t>
  </si>
  <si>
    <t>13th</t>
  </si>
  <si>
    <t>5th</t>
  </si>
  <si>
    <t>4th</t>
  </si>
  <si>
    <t>2nd</t>
  </si>
  <si>
    <t>150th</t>
  </si>
  <si>
    <t>153rd</t>
  </si>
  <si>
    <t>152nd</t>
  </si>
  <si>
    <t>155th</t>
  </si>
  <si>
    <t>158th</t>
  </si>
  <si>
    <t>57th</t>
  </si>
  <si>
    <t>44th</t>
  </si>
  <si>
    <t>14th</t>
  </si>
  <si>
    <t>31st</t>
  </si>
  <si>
    <t>142nd</t>
  </si>
  <si>
    <t>1st</t>
  </si>
  <si>
    <t>58th</t>
  </si>
  <si>
    <t>115th</t>
  </si>
  <si>
    <t>154th</t>
  </si>
  <si>
    <t>175th</t>
  </si>
  <si>
    <t>176th</t>
  </si>
  <si>
    <t>174th</t>
  </si>
  <si>
    <t>173rd</t>
  </si>
  <si>
    <t>45th</t>
  </si>
  <si>
    <t>95th</t>
  </si>
  <si>
    <t>146th</t>
  </si>
  <si>
    <t>147th</t>
  </si>
  <si>
    <t>143rd</t>
  </si>
  <si>
    <t>160th</t>
  </si>
  <si>
    <t>161st</t>
  </si>
  <si>
    <t>156th</t>
  </si>
  <si>
    <t>98th</t>
  </si>
  <si>
    <t>106th</t>
  </si>
  <si>
    <t>171st</t>
  </si>
  <si>
    <t>Brunei Darussalam</t>
  </si>
  <si>
    <t>Slovak Republic</t>
  </si>
  <si>
    <t>E1: Economy</t>
  </si>
  <si>
    <t>Albania</t>
  </si>
  <si>
    <t>Afghanistan</t>
  </si>
  <si>
    <t>France</t>
  </si>
  <si>
    <t>X1: External Intervention</t>
  </si>
  <si>
    <t>C3: Group Grievance</t>
  </si>
  <si>
    <t>AVERAGE</t>
  </si>
  <si>
    <t>MAX</t>
  </si>
  <si>
    <t>MIN</t>
  </si>
  <si>
    <t>COUNT</t>
  </si>
  <si>
    <t>RANK</t>
  </si>
  <si>
    <t>COUNTRY</t>
  </si>
  <si>
    <t>TOTAL</t>
  </si>
  <si>
    <t>COUNTIF &gt;100</t>
  </si>
  <si>
    <t>AVERAGE IF&gt;100</t>
  </si>
  <si>
    <t>COUNTIF&lt;50</t>
  </si>
  <si>
    <t>AVERAGE IF&lt;50</t>
  </si>
  <si>
    <t>C1</t>
  </si>
  <si>
    <t xml:space="preserve">(MAX) </t>
  </si>
  <si>
    <t>(MIN)</t>
  </si>
  <si>
    <t>(COUNTIF&gt;=8)</t>
  </si>
  <si>
    <t>(COUNTIF&lt;5)</t>
  </si>
  <si>
    <t>(MAX)</t>
  </si>
  <si>
    <t>Row Labels</t>
  </si>
  <si>
    <t>Grand Total</t>
  </si>
  <si>
    <t>Sum of Total</t>
  </si>
  <si>
    <t>Average of C1: Security Apparatus</t>
  </si>
  <si>
    <t>Average of C2: Factionalized Elites</t>
  </si>
  <si>
    <t>Average of C3: Group Grievance</t>
  </si>
  <si>
    <t>Average of E1: Economy</t>
  </si>
  <si>
    <t>Average of E2: Economic Inequality</t>
  </si>
  <si>
    <t>Average of E3: Human Flight and Brain Drain</t>
  </si>
  <si>
    <t>E2 (Economic Inequality) has the highest average score of 6.8 among the three economic indicators.</t>
  </si>
  <si>
    <t>Average of P1: State Legitimacy</t>
  </si>
  <si>
    <t>Average of P2: Public Services</t>
  </si>
  <si>
    <t>Average</t>
  </si>
  <si>
    <t>Average of P3: Human Rights</t>
  </si>
  <si>
    <t>Average of S1: Demographic Pressures</t>
  </si>
  <si>
    <t>Average of S2: Refugees and IDPs</t>
  </si>
  <si>
    <t>Average of X1: External Intervention</t>
  </si>
  <si>
    <t>Indicator</t>
  </si>
  <si>
    <t>C2</t>
  </si>
  <si>
    <t>C3</t>
  </si>
  <si>
    <t>E1</t>
  </si>
  <si>
    <t>E2</t>
  </si>
  <si>
    <t>E3</t>
  </si>
  <si>
    <t>P1</t>
  </si>
  <si>
    <t>P2</t>
  </si>
  <si>
    <t>P3</t>
  </si>
  <si>
    <t>S1</t>
  </si>
  <si>
    <t>S2</t>
  </si>
  <si>
    <t>X1</t>
  </si>
  <si>
    <t>Average of all Indicator</t>
  </si>
  <si>
    <t>FRAGILE STATES INDEX — 2007 DATA ANALYSIS</t>
  </si>
  <si>
    <t>Excel Data Analysis &amp; Visualization Project</t>
  </si>
  <si>
    <t>KEY FINDING</t>
  </si>
  <si>
    <t>Metric</t>
  </si>
  <si>
    <t>Result</t>
  </si>
  <si>
    <t>Overall Average</t>
  </si>
  <si>
    <t>Highest Indicator</t>
  </si>
  <si>
    <t>Highest Average Score</t>
  </si>
  <si>
    <t>Highest C Indicator</t>
  </si>
  <si>
    <t>Highest P Indicator</t>
  </si>
  <si>
    <t>Highest S Indicator</t>
  </si>
  <si>
    <t>E2-Economic Inequality</t>
  </si>
  <si>
    <t>C2-5.9</t>
  </si>
  <si>
    <t>P1-6.4</t>
  </si>
  <si>
    <t>S1-6.4</t>
  </si>
  <si>
    <t>X1-Average</t>
  </si>
  <si>
    <t>SKILLS DEMONSTRATED</t>
  </si>
  <si>
    <t>Data Analysis</t>
  </si>
  <si>
    <t>Excel Formulas</t>
  </si>
  <si>
    <t>PivotTables</t>
  </si>
  <si>
    <t>PivotCharts</t>
  </si>
  <si>
    <t>Sorting &amp; Filtering</t>
  </si>
  <si>
    <t>Conditional Analysis</t>
  </si>
  <si>
    <t>INDEX &amp; MATCH</t>
  </si>
  <si>
    <t>Data Visualization</t>
  </si>
  <si>
    <t>(AVERAGE)</t>
  </si>
  <si>
    <t>Highest indicator</t>
  </si>
  <si>
    <t>Lowest indicator</t>
  </si>
  <si>
    <t>Lowest Indicator</t>
  </si>
  <si>
    <t>S2-5.0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</si>
</sst>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yyyy"/>
  </numFmts>
  <fonts count="11" x14ac:knownFonts="1">
    <font>
      <sz val="10"/>
      <name val="Arial"/>
    </font>
    <font>
      <b/>
      <sz val="11"/>
      <name val="Courier New"/>
      <family val="3"/>
    </font>
    <font>
      <b/>
      <sz val="11"/>
      <color theme="1"/>
      <name val="Courier New"/>
      <family val="3"/>
    </font>
    <font>
      <b/>
      <sz val="20"/>
      <name val="Courier New"/>
      <family val="3"/>
    </font>
    <font>
      <b/>
      <sz val="22"/>
      <name val="Courier New"/>
      <family val="3"/>
    </font>
    <font>
      <sz val="10"/>
      <name val="Arial"/>
      <family val="2"/>
    </font>
    <font>
      <b/>
      <sz val="10"/>
      <name val="Arial"/>
      <family val="2"/>
    </font>
    <font>
      <b/>
      <sz val="10"/>
      <color theme="3"/>
      <name val="Arial"/>
      <family val="2"/>
    </font>
    <font>
      <b/>
      <sz val="18"/>
      <name val="Arial"/>
      <family val="2"/>
    </font>
    <font>
      <b/>
      <sz val="12"/>
      <name val="Arial"/>
      <family val="2"/>
    </font>
    <font>
      <b/>
      <sz val="1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theme="9" tint="0.39997558519241921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9">
    <xf numFmtId="0" fontId="0" fillId="0" borderId="0" xfId="0"/>
    <xf numFmtId="1" fontId="1" fillId="0" borderId="1" xfId="0" applyNumberFormat="1" applyFont="1" applyBorder="1" applyAlignment="1">
      <alignment horizontal="left" wrapText="1"/>
    </xf>
    <xf numFmtId="165" fontId="1" fillId="0" borderId="1" xfId="0" applyNumberFormat="1" applyFont="1" applyBorder="1" applyAlignment="1">
      <alignment horizontal="left" wrapText="1"/>
    </xf>
    <xf numFmtId="1" fontId="1" fillId="0" borderId="1" xfId="0" applyNumberFormat="1" applyFont="1" applyBorder="1" applyAlignment="1">
      <alignment horizontal="center" wrapText="1"/>
    </xf>
    <xf numFmtId="0" fontId="1" fillId="0" borderId="1" xfId="0" applyFont="1" applyBorder="1" applyAlignment="1">
      <alignment horizontal="center" textRotation="90" wrapText="1"/>
    </xf>
    <xf numFmtId="164" fontId="1" fillId="0" borderId="1" xfId="0" applyNumberFormat="1" applyFont="1" applyBorder="1" applyAlignment="1">
      <alignment horizontal="center" textRotation="90" wrapText="1"/>
    </xf>
    <xf numFmtId="164" fontId="1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right" wrapText="1"/>
    </xf>
    <xf numFmtId="0" fontId="1" fillId="0" borderId="1" xfId="0" applyFont="1" applyBorder="1" applyAlignment="1">
      <alignment wrapText="1"/>
    </xf>
    <xf numFmtId="165" fontId="1" fillId="0" borderId="1" xfId="0" applyNumberFormat="1" applyFont="1" applyBorder="1" applyAlignment="1">
      <alignment wrapText="1"/>
    </xf>
    <xf numFmtId="0" fontId="1" fillId="0" borderId="1" xfId="0" applyFont="1" applyBorder="1" applyAlignment="1">
      <alignment horizontal="center" wrapText="1"/>
    </xf>
    <xf numFmtId="164" fontId="2" fillId="0" borderId="1" xfId="0" applyNumberFormat="1" applyFont="1" applyBorder="1" applyAlignment="1">
      <alignment horizontal="center" wrapText="1"/>
    </xf>
    <xf numFmtId="164" fontId="1" fillId="0" borderId="1" xfId="0" applyNumberFormat="1" applyFont="1" applyBorder="1" applyAlignment="1">
      <alignment wrapText="1"/>
    </xf>
    <xf numFmtId="164" fontId="1" fillId="0" borderId="1" xfId="0" applyNumberFormat="1" applyFont="1" applyBorder="1" applyAlignment="1">
      <alignment horizontal="left" wrapText="1"/>
    </xf>
    <xf numFmtId="0" fontId="1" fillId="0" borderId="1" xfId="0" applyFont="1" applyBorder="1" applyAlignment="1">
      <alignment horizontal="left" wrapText="1"/>
    </xf>
    <xf numFmtId="49" fontId="1" fillId="0" borderId="1" xfId="0" applyNumberFormat="1" applyFont="1" applyBorder="1" applyAlignment="1">
      <alignment horizontal="center" wrapText="1"/>
    </xf>
    <xf numFmtId="164" fontId="1" fillId="0" borderId="1" xfId="0" applyNumberFormat="1" applyFont="1" applyBorder="1" applyAlignment="1">
      <alignment horizontal="center" wrapText="1"/>
    </xf>
    <xf numFmtId="164" fontId="1" fillId="0" borderId="2" xfId="0" applyNumberFormat="1" applyFont="1" applyBorder="1" applyAlignment="1">
      <alignment horizontal="center" wrapText="1"/>
    </xf>
    <xf numFmtId="0" fontId="1" fillId="0" borderId="4" xfId="0" applyFont="1" applyBorder="1" applyAlignment="1">
      <alignment horizontal="left" wrapText="1"/>
    </xf>
    <xf numFmtId="0" fontId="1" fillId="0" borderId="5" xfId="0" applyFont="1" applyBorder="1" applyAlignment="1">
      <alignment horizontal="center" wrapText="1"/>
    </xf>
    <xf numFmtId="165" fontId="1" fillId="0" borderId="3" xfId="0" applyNumberFormat="1" applyFont="1" applyBorder="1" applyAlignment="1">
      <alignment wrapText="1"/>
    </xf>
    <xf numFmtId="0" fontId="1" fillId="0" borderId="3" xfId="0" applyFont="1" applyBorder="1" applyAlignment="1">
      <alignment horizontal="center" wrapText="1"/>
    </xf>
    <xf numFmtId="164" fontId="2" fillId="0" borderId="3" xfId="0" applyNumberFormat="1" applyFont="1" applyBorder="1" applyAlignment="1">
      <alignment horizontal="center" wrapText="1"/>
    </xf>
    <xf numFmtId="165" fontId="1" fillId="0" borderId="2" xfId="0" applyNumberFormat="1" applyFont="1" applyBorder="1" applyAlignment="1">
      <alignment horizontal="left" wrapText="1"/>
    </xf>
    <xf numFmtId="49" fontId="1" fillId="0" borderId="2" xfId="0" applyNumberFormat="1" applyFont="1" applyBorder="1" applyAlignment="1">
      <alignment horizontal="center" wrapText="1"/>
    </xf>
    <xf numFmtId="164" fontId="4" fillId="0" borderId="8" xfId="0" applyNumberFormat="1" applyFont="1" applyBorder="1" applyAlignment="1">
      <alignment horizontal="center" vertical="center" wrapText="1"/>
    </xf>
    <xf numFmtId="164" fontId="4" fillId="0" borderId="10" xfId="0" applyNumberFormat="1" applyFont="1" applyBorder="1" applyAlignment="1">
      <alignment horizontal="center" vertical="center" wrapText="1"/>
    </xf>
    <xf numFmtId="164" fontId="4" fillId="0" borderId="11" xfId="0" applyNumberFormat="1" applyFont="1" applyBorder="1" applyAlignment="1">
      <alignment horizontal="center" vertical="center" wrapText="1"/>
    </xf>
    <xf numFmtId="164" fontId="4" fillId="0" borderId="14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wrapText="1"/>
    </xf>
    <xf numFmtId="0" fontId="3" fillId="0" borderId="4" xfId="0" applyFont="1" applyBorder="1" applyAlignment="1">
      <alignment wrapText="1"/>
    </xf>
    <xf numFmtId="0" fontId="3" fillId="0" borderId="15" xfId="0" applyFont="1" applyBorder="1" applyAlignment="1">
      <alignment wrapText="1"/>
    </xf>
    <xf numFmtId="0" fontId="3" fillId="0" borderId="5" xfId="0" applyFont="1" applyBorder="1" applyAlignment="1">
      <alignment wrapText="1"/>
    </xf>
    <xf numFmtId="164" fontId="3" fillId="0" borderId="15" xfId="0" applyNumberFormat="1" applyFont="1" applyBorder="1" applyAlignment="1">
      <alignment wrapText="1"/>
    </xf>
    <xf numFmtId="164" fontId="1" fillId="0" borderId="1" xfId="0" applyNumberFormat="1" applyFont="1" applyBorder="1" applyAlignment="1">
      <alignment horizontal="right" wrapText="1"/>
    </xf>
    <xf numFmtId="164" fontId="3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right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0" fontId="6" fillId="0" borderId="0" xfId="0" applyFont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49" fontId="4" fillId="0" borderId="12" xfId="0" applyNumberFormat="1" applyFont="1" applyBorder="1" applyAlignment="1">
      <alignment horizontal="center" vertical="center" wrapText="1"/>
    </xf>
    <xf numFmtId="49" fontId="4" fillId="0" borderId="13" xfId="0" applyNumberFormat="1" applyFont="1" applyBorder="1" applyAlignment="1">
      <alignment horizontal="center" vertical="center" wrapText="1"/>
    </xf>
    <xf numFmtId="49" fontId="4" fillId="0" borderId="9" xfId="0" applyNumberFormat="1" applyFont="1" applyBorder="1" applyAlignment="1">
      <alignment horizontal="center" vertical="center" wrapText="1"/>
    </xf>
    <xf numFmtId="49" fontId="4" fillId="0" borderId="5" xfId="0" applyNumberFormat="1" applyFont="1" applyBorder="1" applyAlignment="1">
      <alignment horizontal="center" vertical="center" wrapText="1"/>
    </xf>
    <xf numFmtId="165" fontId="4" fillId="0" borderId="9" xfId="0" applyNumberFormat="1" applyFont="1" applyBorder="1" applyAlignment="1">
      <alignment horizontal="center" vertical="center" wrapText="1"/>
    </xf>
    <xf numFmtId="165" fontId="4" fillId="0" borderId="5" xfId="0" applyNumberFormat="1" applyFont="1" applyBorder="1" applyAlignment="1">
      <alignment horizontal="center" vertical="center" wrapText="1"/>
    </xf>
    <xf numFmtId="49" fontId="4" fillId="0" borderId="6" xfId="0" applyNumberFormat="1" applyFont="1" applyBorder="1" applyAlignment="1">
      <alignment horizontal="center" vertical="center" wrapText="1"/>
    </xf>
    <xf numFmtId="49" fontId="4" fillId="0" borderId="7" xfId="0" applyNumberFormat="1" applyFont="1" applyBorder="1" applyAlignment="1">
      <alignment horizontal="center" vertical="center" wrapText="1"/>
    </xf>
    <xf numFmtId="0" fontId="6" fillId="0" borderId="17" xfId="0" applyFont="1" applyBorder="1" applyAlignment="1">
      <alignment horizontal="right"/>
    </xf>
    <xf numFmtId="164" fontId="0" fillId="0" borderId="18" xfId="0" applyNumberFormat="1" applyBorder="1"/>
    <xf numFmtId="0" fontId="5" fillId="0" borderId="17" xfId="0" applyFont="1" applyBorder="1" applyAlignment="1">
      <alignment horizontal="right"/>
    </xf>
    <xf numFmtId="0" fontId="6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right"/>
    </xf>
    <xf numFmtId="0" fontId="5" fillId="0" borderId="21" xfId="0" applyFont="1" applyBorder="1" applyAlignment="1">
      <alignment horizontal="right"/>
    </xf>
    <xf numFmtId="0" fontId="7" fillId="2" borderId="16" xfId="0" applyFont="1" applyFill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right" vertical="center" wrapText="1"/>
    </xf>
    <xf numFmtId="0" fontId="5" fillId="3" borderId="16" xfId="0" applyFont="1" applyFill="1" applyBorder="1" applyAlignment="1">
      <alignment vertical="center" wrapText="1"/>
    </xf>
    <xf numFmtId="0" fontId="5" fillId="4" borderId="16" xfId="0" applyFont="1" applyFill="1" applyBorder="1" applyAlignment="1">
      <alignment horizontal="right" vertical="center" wrapText="1"/>
    </xf>
    <xf numFmtId="0" fontId="8" fillId="0" borderId="0" xfId="0" applyFont="1" applyAlignment="1"/>
    <xf numFmtId="0" fontId="9" fillId="0" borderId="0" xfId="0" applyFont="1" applyAlignment="1">
      <alignment horizontal="center"/>
    </xf>
    <xf numFmtId="0" fontId="9" fillId="0" borderId="0" xfId="0" applyFont="1" applyAlignment="1"/>
    <xf numFmtId="0" fontId="6" fillId="0" borderId="19" xfId="0" applyFont="1" applyBorder="1" applyAlignment="1">
      <alignment horizontal="center"/>
    </xf>
    <xf numFmtId="0" fontId="6" fillId="0" borderId="20" xfId="0" applyFont="1" applyBorder="1" applyAlignment="1">
      <alignment horizontal="center"/>
    </xf>
    <xf numFmtId="0" fontId="6" fillId="0" borderId="1" xfId="0" applyFont="1" applyBorder="1" applyAlignment="1">
      <alignment horizontal="center" vertical="center"/>
    </xf>
    <xf numFmtId="0" fontId="5" fillId="0" borderId="1" xfId="0" applyFont="1" applyBorder="1"/>
    <xf numFmtId="0" fontId="5" fillId="0" borderId="2" xfId="0" applyFont="1" applyBorder="1"/>
    <xf numFmtId="0" fontId="10" fillId="0" borderId="16" xfId="0" applyFont="1" applyBorder="1"/>
    <xf numFmtId="164" fontId="1" fillId="0" borderId="1" xfId="0" applyNumberFormat="1" applyFont="1" applyBorder="1" applyAlignment="1">
      <alignment horizontal="center"/>
    </xf>
    <xf numFmtId="0" fontId="0" fillId="0" borderId="24" xfId="0" applyBorder="1" applyAlignment="1">
      <alignment horizontal="right"/>
    </xf>
    <xf numFmtId="0" fontId="0" fillId="0" borderId="1" xfId="0" applyBorder="1"/>
    <xf numFmtId="0" fontId="8" fillId="0" borderId="22" xfId="0" applyFont="1" applyBorder="1" applyAlignment="1">
      <alignment horizontal="center"/>
    </xf>
    <xf numFmtId="0" fontId="8" fillId="0" borderId="25" xfId="0" applyFont="1" applyBorder="1" applyAlignment="1">
      <alignment horizontal="center"/>
    </xf>
    <xf numFmtId="0" fontId="8" fillId="0" borderId="2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0000"/>
      <rgbColor rgb="00FF9B37"/>
      <rgbColor rgb="00FFFF66"/>
      <rgbColor rgb="00003300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[📊 Global_Country_Indicators_Analysis_Dashboard.xlsx.xlsx]Total Score!PivotTable3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spc="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IN" sz="1800" b="1">
                <a:solidFill>
                  <a:schemeClr val="tx2"/>
                </a:solidFill>
              </a:rPr>
              <a:t>Top 10 Countries by Total Score-2007</a:t>
            </a:r>
          </a:p>
          <a:p>
            <a:pPr>
              <a:defRPr sz="1800" b="1">
                <a:solidFill>
                  <a:schemeClr val="tx2"/>
                </a:solidFill>
              </a:defRPr>
            </a:pPr>
            <a:endParaRPr lang="en-IN" sz="1800" b="1">
              <a:solidFill>
                <a:schemeClr val="tx2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'Total Score'!$B$3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'Total Score'!$A$4:$A$14</c:f>
              <c:strCache>
                <c:ptCount val="10"/>
                <c:pt idx="0">
                  <c:v>Sudan</c:v>
                </c:pt>
                <c:pt idx="1">
                  <c:v>Iraq</c:v>
                </c:pt>
                <c:pt idx="2">
                  <c:v>Somalia</c:v>
                </c:pt>
                <c:pt idx="3">
                  <c:v>Zimbabwe</c:v>
                </c:pt>
                <c:pt idx="4">
                  <c:v>Chad</c:v>
                </c:pt>
                <c:pt idx="5">
                  <c:v>Cote d'Ivoire</c:v>
                </c:pt>
                <c:pt idx="6">
                  <c:v>Congo Democratic Republic</c:v>
                </c:pt>
                <c:pt idx="7">
                  <c:v>Afghanistan</c:v>
                </c:pt>
                <c:pt idx="8">
                  <c:v>Guinea</c:v>
                </c:pt>
                <c:pt idx="9">
                  <c:v>Central African Republic</c:v>
                </c:pt>
              </c:strCache>
            </c:strRef>
          </c:cat>
          <c:val>
            <c:numRef>
              <c:f>'Total Score'!$B$4:$B$14</c:f>
              <c:numCache>
                <c:formatCode>0.0</c:formatCode>
                <c:ptCount val="10"/>
                <c:pt idx="0">
                  <c:v>113.7</c:v>
                </c:pt>
                <c:pt idx="1">
                  <c:v>111.4</c:v>
                </c:pt>
                <c:pt idx="2">
                  <c:v>111.1</c:v>
                </c:pt>
                <c:pt idx="3">
                  <c:v>110.1</c:v>
                </c:pt>
                <c:pt idx="4">
                  <c:v>108.8</c:v>
                </c:pt>
                <c:pt idx="5">
                  <c:v>107.3</c:v>
                </c:pt>
                <c:pt idx="6">
                  <c:v>105.5</c:v>
                </c:pt>
                <c:pt idx="7">
                  <c:v>102.3</c:v>
                </c:pt>
                <c:pt idx="8">
                  <c:v>101.3</c:v>
                </c:pt>
                <c:pt idx="9">
                  <c:v>101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102-4524-94E7-85AF73F42D6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856683583"/>
        <c:axId val="635066735"/>
      </c:barChart>
      <c:catAx>
        <c:axId val="8566835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accent6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5066735"/>
        <c:crosses val="autoZero"/>
        <c:auto val="1"/>
        <c:lblAlgn val="ctr"/>
        <c:lblOffset val="100"/>
        <c:noMultiLvlLbl val="0"/>
      </c:catAx>
      <c:valAx>
        <c:axId val="6350667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accent6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66835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1" i="0" u="none" strike="noStrike" kern="1200" spc="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IN" sz="2400" b="1">
                <a:solidFill>
                  <a:schemeClr val="tx2"/>
                </a:solidFill>
              </a:rPr>
              <a:t>Average</a:t>
            </a:r>
            <a:r>
              <a:rPr lang="en-IN" sz="2400" b="1" baseline="0">
                <a:solidFill>
                  <a:schemeClr val="tx2"/>
                </a:solidFill>
              </a:rPr>
              <a:t> Score of all Indicator-2007</a:t>
            </a:r>
            <a:endParaRPr lang="en-IN" sz="2400" b="1">
              <a:solidFill>
                <a:schemeClr val="tx2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spc="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'📊 X1 Analysis &amp; Final Analysis'!$D$5</c:f>
              <c:strCache>
                <c:ptCount val="1"/>
                <c:pt idx="0">
                  <c:v>Average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'📊 X1 Analysis &amp; Final Analysis'!$C$6:$C$17</c:f>
              <c:strCache>
                <c:ptCount val="12"/>
                <c:pt idx="0">
                  <c:v>C1</c:v>
                </c:pt>
                <c:pt idx="1">
                  <c:v>C2</c:v>
                </c:pt>
                <c:pt idx="2">
                  <c:v>C3</c:v>
                </c:pt>
                <c:pt idx="3">
                  <c:v>E1</c:v>
                </c:pt>
                <c:pt idx="4">
                  <c:v>E2</c:v>
                </c:pt>
                <c:pt idx="5">
                  <c:v>E3</c:v>
                </c:pt>
                <c:pt idx="6">
                  <c:v>P1</c:v>
                </c:pt>
                <c:pt idx="7">
                  <c:v>P2</c:v>
                </c:pt>
                <c:pt idx="8">
                  <c:v>P3</c:v>
                </c:pt>
                <c:pt idx="9">
                  <c:v>S1</c:v>
                </c:pt>
                <c:pt idx="10">
                  <c:v>S2</c:v>
                </c:pt>
                <c:pt idx="11">
                  <c:v>X1</c:v>
                </c:pt>
              </c:strCache>
            </c:strRef>
          </c:cat>
          <c:val>
            <c:numRef>
              <c:f>'📊 X1 Analysis &amp; Final Analysis'!$D$6:$D$17</c:f>
              <c:numCache>
                <c:formatCode>General</c:formatCode>
                <c:ptCount val="12"/>
                <c:pt idx="0">
                  <c:v>5.6</c:v>
                </c:pt>
                <c:pt idx="1">
                  <c:v>5.9</c:v>
                </c:pt>
                <c:pt idx="2">
                  <c:v>5.8</c:v>
                </c:pt>
                <c:pt idx="3">
                  <c:v>5.6</c:v>
                </c:pt>
                <c:pt idx="4">
                  <c:v>6.8</c:v>
                </c:pt>
                <c:pt idx="5">
                  <c:v>5.6</c:v>
                </c:pt>
                <c:pt idx="6">
                  <c:v>6.4</c:v>
                </c:pt>
                <c:pt idx="7">
                  <c:v>5.8</c:v>
                </c:pt>
                <c:pt idx="8">
                  <c:v>5.9</c:v>
                </c:pt>
                <c:pt idx="9">
                  <c:v>6.4</c:v>
                </c:pt>
                <c:pt idx="10">
                  <c:v>5</c:v>
                </c:pt>
                <c:pt idx="11">
                  <c:v>5.7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17E-4BDA-9CEB-945C579F418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804113199"/>
        <c:axId val="635120495"/>
      </c:barChart>
      <c:catAx>
        <c:axId val="8041131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5120495"/>
        <c:crosses val="autoZero"/>
        <c:auto val="1"/>
        <c:lblAlgn val="ctr"/>
        <c:lblOffset val="100"/>
        <c:noMultiLvlLbl val="0"/>
      </c:catAx>
      <c:valAx>
        <c:axId val="6351204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4113199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[📊 Global_Country_Indicators_Analysis_Dashboard.xlsx.xlsx]Total Score!PivotTable3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spc="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IN" sz="1800" b="1">
                <a:solidFill>
                  <a:schemeClr val="tx2"/>
                </a:solidFill>
              </a:rPr>
              <a:t>Top 10 Countries by Total Score-2007</a:t>
            </a:r>
          </a:p>
          <a:p>
            <a:pPr>
              <a:defRPr sz="1800" b="1">
                <a:solidFill>
                  <a:schemeClr val="tx2"/>
                </a:solidFill>
              </a:defRPr>
            </a:pPr>
            <a:endParaRPr lang="en-IN" sz="1800" b="1">
              <a:solidFill>
                <a:schemeClr val="tx2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'Total Score'!$B$3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'Total Score'!$A$4:$A$14</c:f>
              <c:strCache>
                <c:ptCount val="10"/>
                <c:pt idx="0">
                  <c:v>Sudan</c:v>
                </c:pt>
                <c:pt idx="1">
                  <c:v>Iraq</c:v>
                </c:pt>
                <c:pt idx="2">
                  <c:v>Somalia</c:v>
                </c:pt>
                <c:pt idx="3">
                  <c:v>Zimbabwe</c:v>
                </c:pt>
                <c:pt idx="4">
                  <c:v>Chad</c:v>
                </c:pt>
                <c:pt idx="5">
                  <c:v>Cote d'Ivoire</c:v>
                </c:pt>
                <c:pt idx="6">
                  <c:v>Congo Democratic Republic</c:v>
                </c:pt>
                <c:pt idx="7">
                  <c:v>Afghanistan</c:v>
                </c:pt>
                <c:pt idx="8">
                  <c:v>Guinea</c:v>
                </c:pt>
                <c:pt idx="9">
                  <c:v>Central African Republic</c:v>
                </c:pt>
              </c:strCache>
            </c:strRef>
          </c:cat>
          <c:val>
            <c:numRef>
              <c:f>'Total Score'!$B$4:$B$14</c:f>
              <c:numCache>
                <c:formatCode>0.0</c:formatCode>
                <c:ptCount val="10"/>
                <c:pt idx="0">
                  <c:v>113.7</c:v>
                </c:pt>
                <c:pt idx="1">
                  <c:v>111.4</c:v>
                </c:pt>
                <c:pt idx="2">
                  <c:v>111.1</c:v>
                </c:pt>
                <c:pt idx="3">
                  <c:v>110.1</c:v>
                </c:pt>
                <c:pt idx="4">
                  <c:v>108.8</c:v>
                </c:pt>
                <c:pt idx="5">
                  <c:v>107.3</c:v>
                </c:pt>
                <c:pt idx="6">
                  <c:v>105.5</c:v>
                </c:pt>
                <c:pt idx="7">
                  <c:v>102.3</c:v>
                </c:pt>
                <c:pt idx="8">
                  <c:v>101.3</c:v>
                </c:pt>
                <c:pt idx="9">
                  <c:v>101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AC-48E8-A538-A304405B52C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856683583"/>
        <c:axId val="635066735"/>
      </c:barChart>
      <c:catAx>
        <c:axId val="8566835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accent6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5066735"/>
        <c:crosses val="autoZero"/>
        <c:auto val="1"/>
        <c:lblAlgn val="ctr"/>
        <c:lblOffset val="100"/>
        <c:noMultiLvlLbl val="0"/>
      </c:catAx>
      <c:valAx>
        <c:axId val="6350667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accent6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66835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[📊 Global_Country_Indicators_Analysis_Dashboard.xlsx.xlsx]📊 C Analysis!PivotTable4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IN" sz="1600" b="1">
                <a:solidFill>
                  <a:schemeClr val="tx2"/>
                </a:solidFill>
              </a:rPr>
              <a:t>Average</a:t>
            </a:r>
            <a:r>
              <a:rPr lang="en-IN" sz="1600" b="1" baseline="0">
                <a:solidFill>
                  <a:schemeClr val="tx2"/>
                </a:solidFill>
              </a:rPr>
              <a:t> C1,C2,C3 Score-2007</a:t>
            </a:r>
            <a:endParaRPr lang="en-IN" sz="1600" b="1">
              <a:solidFill>
                <a:schemeClr val="tx2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'📊 C Analysis'!$A$3</c:f>
              <c:strCache>
                <c:ptCount val="1"/>
                <c:pt idx="0">
                  <c:v>Average of C1: Security Apparatus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'📊 C Analysis'!$A$4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'📊 C Analysis'!$A$4</c:f>
              <c:numCache>
                <c:formatCode>0.0</c:formatCode>
                <c:ptCount val="1"/>
                <c:pt idx="0">
                  <c:v>5.5593220338983045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082-4F0B-9249-70E24DE0D294}"/>
            </c:ext>
          </c:extLst>
        </c:ser>
        <c:ser>
          <c:idx val="1"/>
          <c:order val="1"/>
          <c:tx>
            <c:strRef>
              <c:f>'📊 C Analysis'!$B$3</c:f>
              <c:strCache>
                <c:ptCount val="1"/>
                <c:pt idx="0">
                  <c:v>Average of C2: Factionalized Elites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'📊 C Analysis'!$A$4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'📊 C Analysis'!$B$4</c:f>
              <c:numCache>
                <c:formatCode>0.0</c:formatCode>
                <c:ptCount val="1"/>
                <c:pt idx="0">
                  <c:v>5.9497175141242931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082-4F0B-9249-70E24DE0D294}"/>
            </c:ext>
          </c:extLst>
        </c:ser>
        <c:ser>
          <c:idx val="2"/>
          <c:order val="2"/>
          <c:tx>
            <c:strRef>
              <c:f>'📊 C Analysis'!$C$3</c:f>
              <c:strCache>
                <c:ptCount val="1"/>
                <c:pt idx="0">
                  <c:v>Average of C3: Group Grievance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'📊 C Analysis'!$A$4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'📊 C Analysis'!$C$4</c:f>
              <c:numCache>
                <c:formatCode>0.0</c:formatCode>
                <c:ptCount val="1"/>
                <c:pt idx="0">
                  <c:v>5.839548022598871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082-4F0B-9249-70E24DE0D29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867588015"/>
        <c:axId val="635090735"/>
      </c:barChart>
      <c:catAx>
        <c:axId val="8675880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5090735"/>
        <c:crosses val="autoZero"/>
        <c:auto val="1"/>
        <c:lblAlgn val="ctr"/>
        <c:lblOffset val="100"/>
        <c:noMultiLvlLbl val="0"/>
      </c:catAx>
      <c:valAx>
        <c:axId val="635090735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75880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[📊 Global_Country_Indicators_Analysis_Dashboard.xlsx.xlsx]📊 E Analysis!PivotTable5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IN" sz="1600" b="1">
                <a:solidFill>
                  <a:schemeClr val="tx2"/>
                </a:solidFill>
              </a:rPr>
              <a:t>Average of</a:t>
            </a:r>
            <a:r>
              <a:rPr lang="en-IN" sz="1600" b="1" baseline="0">
                <a:solidFill>
                  <a:schemeClr val="tx2"/>
                </a:solidFill>
              </a:rPr>
              <a:t> E1,E2,E3 Score-2007</a:t>
            </a:r>
            <a:endParaRPr lang="en-IN" sz="1600" b="1">
              <a:solidFill>
                <a:schemeClr val="tx2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'📊 E Analysis'!$A$3</c:f>
              <c:strCache>
                <c:ptCount val="1"/>
                <c:pt idx="0">
                  <c:v>Average of E1: Economy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'📊 E Analysis'!$A$4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'📊 E Analysis'!$A$4</c:f>
              <c:numCache>
                <c:formatCode>0.0</c:formatCode>
                <c:ptCount val="1"/>
                <c:pt idx="0">
                  <c:v>5.6146892655367218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DB5-4D21-A0AF-3B9EAE2FB367}"/>
            </c:ext>
          </c:extLst>
        </c:ser>
        <c:ser>
          <c:idx val="1"/>
          <c:order val="1"/>
          <c:tx>
            <c:strRef>
              <c:f>'📊 E Analysis'!$B$3</c:f>
              <c:strCache>
                <c:ptCount val="1"/>
                <c:pt idx="0">
                  <c:v>Average of E2: Economic Inequality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'📊 E Analysis'!$A$4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'📊 E Analysis'!$B$4</c:f>
              <c:numCache>
                <c:formatCode>0.0</c:formatCode>
                <c:ptCount val="1"/>
                <c:pt idx="0">
                  <c:v>6.7943502824858806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DB5-4D21-A0AF-3B9EAE2FB367}"/>
            </c:ext>
          </c:extLst>
        </c:ser>
        <c:ser>
          <c:idx val="2"/>
          <c:order val="2"/>
          <c:tx>
            <c:strRef>
              <c:f>'📊 E Analysis'!$C$3</c:f>
              <c:strCache>
                <c:ptCount val="1"/>
                <c:pt idx="0">
                  <c:v>Average of E3: Human Flight and Brain Drain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'📊 E Analysis'!$A$4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'📊 E Analysis'!$C$4</c:f>
              <c:numCache>
                <c:formatCode>0.0</c:formatCode>
                <c:ptCount val="1"/>
                <c:pt idx="0">
                  <c:v>5.6423728813559348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DB5-4D21-A0AF-3B9EAE2FB36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864278431"/>
        <c:axId val="635066255"/>
      </c:barChart>
      <c:catAx>
        <c:axId val="8642784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5066255"/>
        <c:crosses val="autoZero"/>
        <c:auto val="1"/>
        <c:lblAlgn val="ctr"/>
        <c:lblOffset val="100"/>
        <c:noMultiLvlLbl val="0"/>
      </c:catAx>
      <c:valAx>
        <c:axId val="6350662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42784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[📊 Global_Country_Indicators_Analysis_Dashboard.xlsx.xlsx]📊 P Analysis!PivotTable6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spc="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IN" sz="1800" b="1">
                <a:solidFill>
                  <a:schemeClr val="tx2"/>
                </a:solidFill>
              </a:rPr>
              <a:t>Average</a:t>
            </a:r>
            <a:r>
              <a:rPr lang="en-IN" sz="1800" b="1" baseline="0">
                <a:solidFill>
                  <a:schemeClr val="tx2"/>
                </a:solidFill>
              </a:rPr>
              <a:t> of P1,P2,P3 Score-2007</a:t>
            </a:r>
            <a:endParaRPr lang="en-IN" sz="1800" b="1">
              <a:solidFill>
                <a:schemeClr val="tx2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5.0859994871330735E-2"/>
          <c:y val="0.21042523602460139"/>
          <c:w val="0.57907955471083361"/>
          <c:h val="0.6477909011373578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'📊 P Analysis'!$A$3</c:f>
              <c:strCache>
                <c:ptCount val="1"/>
                <c:pt idx="0">
                  <c:v>Average of P1: State Legitimacy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'📊 P Analysis'!$A$4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'📊 P Analysis'!$A$4</c:f>
              <c:numCache>
                <c:formatCode>0.0</c:formatCode>
                <c:ptCount val="1"/>
                <c:pt idx="0">
                  <c:v>6.4186440677966088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983-4222-AF0C-11020860667B}"/>
            </c:ext>
          </c:extLst>
        </c:ser>
        <c:ser>
          <c:idx val="1"/>
          <c:order val="1"/>
          <c:tx>
            <c:strRef>
              <c:f>'📊 P Analysis'!$B$3</c:f>
              <c:strCache>
                <c:ptCount val="1"/>
                <c:pt idx="0">
                  <c:v>Average of P2: Public Services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'📊 P Analysis'!$A$4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'📊 P Analysis'!$B$4</c:f>
              <c:numCache>
                <c:formatCode>0.0</c:formatCode>
                <c:ptCount val="1"/>
                <c:pt idx="0">
                  <c:v>5.751412429378532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983-4222-AF0C-11020860667B}"/>
            </c:ext>
          </c:extLst>
        </c:ser>
        <c:ser>
          <c:idx val="2"/>
          <c:order val="2"/>
          <c:tx>
            <c:strRef>
              <c:f>'📊 P Analysis'!$C$3</c:f>
              <c:strCache>
                <c:ptCount val="1"/>
                <c:pt idx="0">
                  <c:v>Average of P3: Human Rights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'📊 P Analysis'!$A$4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'📊 P Analysis'!$C$4</c:f>
              <c:numCache>
                <c:formatCode>0.0</c:formatCode>
                <c:ptCount val="1"/>
                <c:pt idx="0">
                  <c:v>5.921468926553672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983-4222-AF0C-11020860667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918517231"/>
        <c:axId val="635067215"/>
      </c:barChart>
      <c:catAx>
        <c:axId val="9185172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5067215"/>
        <c:crosses val="autoZero"/>
        <c:auto val="1"/>
        <c:lblAlgn val="ctr"/>
        <c:lblOffset val="100"/>
        <c:noMultiLvlLbl val="0"/>
      </c:catAx>
      <c:valAx>
        <c:axId val="635067215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85172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[📊 Global_Country_Indicators_Analysis_Dashboard.xlsx.xlsx]📊 S Analysis!PivotTable7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spc="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IN" sz="1800" b="1">
                <a:solidFill>
                  <a:schemeClr val="tx2"/>
                </a:solidFill>
              </a:rPr>
              <a:t>Average</a:t>
            </a:r>
            <a:r>
              <a:rPr lang="en-IN" sz="1800" b="1" baseline="0">
                <a:solidFill>
                  <a:schemeClr val="tx2"/>
                </a:solidFill>
              </a:rPr>
              <a:t> of  S1,S2 Score-2007</a:t>
            </a:r>
            <a:endParaRPr lang="en-IN" sz="1800" b="1">
              <a:solidFill>
                <a:schemeClr val="tx2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'📊 S Analysis'!$A$3</c:f>
              <c:strCache>
                <c:ptCount val="1"/>
                <c:pt idx="0">
                  <c:v>Average of S1: Demographic Pressures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'📊 S Analysis'!$A$4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'📊 S Analysis'!$A$4</c:f>
              <c:numCache>
                <c:formatCode>0.0</c:formatCode>
                <c:ptCount val="1"/>
                <c:pt idx="0">
                  <c:v>6.4186440677966088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F4E-492A-923F-7D5E4EB7E71A}"/>
            </c:ext>
          </c:extLst>
        </c:ser>
        <c:ser>
          <c:idx val="1"/>
          <c:order val="1"/>
          <c:tx>
            <c:strRef>
              <c:f>'📊 S Analysis'!$B$3</c:f>
              <c:strCache>
                <c:ptCount val="1"/>
                <c:pt idx="0">
                  <c:v>Average of S2: Refugees and IDPs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'📊 S Analysis'!$A$4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'📊 S Analysis'!$B$4</c:f>
              <c:numCache>
                <c:formatCode>0.0</c:formatCode>
                <c:ptCount val="1"/>
                <c:pt idx="0">
                  <c:v>4.9807909604519818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F4E-492A-923F-7D5E4EB7E71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918522335"/>
        <c:axId val="635118095"/>
      </c:barChart>
      <c:catAx>
        <c:axId val="9185223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5118095"/>
        <c:crosses val="autoZero"/>
        <c:auto val="1"/>
        <c:lblAlgn val="ctr"/>
        <c:lblOffset val="100"/>
        <c:noMultiLvlLbl val="0"/>
      </c:catAx>
      <c:valAx>
        <c:axId val="635118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85223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1" i="0" u="none" strike="noStrike" kern="1200" spc="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IN" sz="2400" b="1">
                <a:solidFill>
                  <a:schemeClr val="tx2"/>
                </a:solidFill>
              </a:rPr>
              <a:t>Average</a:t>
            </a:r>
            <a:r>
              <a:rPr lang="en-IN" sz="2400" b="1" baseline="0">
                <a:solidFill>
                  <a:schemeClr val="tx2"/>
                </a:solidFill>
              </a:rPr>
              <a:t> Score of all Indicator-2007</a:t>
            </a:r>
            <a:endParaRPr lang="en-IN" sz="2400" b="1">
              <a:solidFill>
                <a:schemeClr val="tx2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spc="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'📊 X1 Analysis &amp; Final Analysis'!$D$5</c:f>
              <c:strCache>
                <c:ptCount val="1"/>
                <c:pt idx="0">
                  <c:v>Average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'📊 X1 Analysis &amp; Final Analysis'!$C$6:$C$17</c:f>
              <c:strCache>
                <c:ptCount val="12"/>
                <c:pt idx="0">
                  <c:v>C1</c:v>
                </c:pt>
                <c:pt idx="1">
                  <c:v>C2</c:v>
                </c:pt>
                <c:pt idx="2">
                  <c:v>C3</c:v>
                </c:pt>
                <c:pt idx="3">
                  <c:v>E1</c:v>
                </c:pt>
                <c:pt idx="4">
                  <c:v>E2</c:v>
                </c:pt>
                <c:pt idx="5">
                  <c:v>E3</c:v>
                </c:pt>
                <c:pt idx="6">
                  <c:v>P1</c:v>
                </c:pt>
                <c:pt idx="7">
                  <c:v>P2</c:v>
                </c:pt>
                <c:pt idx="8">
                  <c:v>P3</c:v>
                </c:pt>
                <c:pt idx="9">
                  <c:v>S1</c:v>
                </c:pt>
                <c:pt idx="10">
                  <c:v>S2</c:v>
                </c:pt>
                <c:pt idx="11">
                  <c:v>X1</c:v>
                </c:pt>
              </c:strCache>
            </c:strRef>
          </c:cat>
          <c:val>
            <c:numRef>
              <c:f>'📊 X1 Analysis &amp; Final Analysis'!$D$6:$D$17</c:f>
              <c:numCache>
                <c:formatCode>General</c:formatCode>
                <c:ptCount val="12"/>
                <c:pt idx="0">
                  <c:v>5.6</c:v>
                </c:pt>
                <c:pt idx="1">
                  <c:v>5.9</c:v>
                </c:pt>
                <c:pt idx="2">
                  <c:v>5.8</c:v>
                </c:pt>
                <c:pt idx="3">
                  <c:v>5.6</c:v>
                </c:pt>
                <c:pt idx="4">
                  <c:v>6.8</c:v>
                </c:pt>
                <c:pt idx="5">
                  <c:v>5.6</c:v>
                </c:pt>
                <c:pt idx="6">
                  <c:v>6.4</c:v>
                </c:pt>
                <c:pt idx="7">
                  <c:v>5.8</c:v>
                </c:pt>
                <c:pt idx="8">
                  <c:v>5.9</c:v>
                </c:pt>
                <c:pt idx="9">
                  <c:v>6.4</c:v>
                </c:pt>
                <c:pt idx="10">
                  <c:v>5</c:v>
                </c:pt>
                <c:pt idx="11">
                  <c:v>5.7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49-4B68-8BFA-E478A788AAC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804113199"/>
        <c:axId val="635120495"/>
      </c:barChart>
      <c:catAx>
        <c:axId val="8041131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5120495"/>
        <c:crosses val="autoZero"/>
        <c:auto val="1"/>
        <c:lblAlgn val="ctr"/>
        <c:lblOffset val="100"/>
        <c:noMultiLvlLbl val="0"/>
      </c:catAx>
      <c:valAx>
        <c:axId val="6351204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4113199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15</xdr:row>
      <xdr:rowOff>0</xdr:rowOff>
    </xdr:from>
    <xdr:to>
      <xdr:col>7</xdr:col>
      <xdr:colOff>601980</xdr:colOff>
      <xdr:row>33</xdr:row>
      <xdr:rowOff>7620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26790E5-3A90-49A4-B2FF-265E6F1C77C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34</xdr:row>
      <xdr:rowOff>15240</xdr:rowOff>
    </xdr:from>
    <xdr:to>
      <xdr:col>9</xdr:col>
      <xdr:colOff>99060</xdr:colOff>
      <xdr:row>48</xdr:row>
      <xdr:rowOff>15240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52D2E5A-7AAE-4FEF-880D-B83E3A08145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472440</xdr:colOff>
      <xdr:row>2</xdr:row>
      <xdr:rowOff>99060</xdr:rowOff>
    </xdr:from>
    <xdr:to>
      <xdr:col>13</xdr:col>
      <xdr:colOff>320040</xdr:colOff>
      <xdr:row>22</xdr:row>
      <xdr:rowOff>121920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4F4542-F9FE-1CBA-B82E-97ACB105735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891540</xdr:colOff>
      <xdr:row>5</xdr:row>
      <xdr:rowOff>163830</xdr:rowOff>
    </xdr:from>
    <xdr:to>
      <xdr:col>6</xdr:col>
      <xdr:colOff>7620</xdr:colOff>
      <xdr:row>23</xdr:row>
      <xdr:rowOff>160020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59EC0B4-3A7E-2697-2B07-87487C3DA4C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1874520</xdr:colOff>
      <xdr:row>5</xdr:row>
      <xdr:rowOff>76200</xdr:rowOff>
    </xdr:from>
    <xdr:to>
      <xdr:col>9</xdr:col>
      <xdr:colOff>68580</xdr:colOff>
      <xdr:row>24</xdr:row>
      <xdr:rowOff>68580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C8D68FD-C073-5013-9BA4-B66C23CE1DC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190500</xdr:colOff>
      <xdr:row>5</xdr:row>
      <xdr:rowOff>7620</xdr:rowOff>
    </xdr:from>
    <xdr:to>
      <xdr:col>8</xdr:col>
      <xdr:colOff>586740</xdr:colOff>
      <xdr:row>23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32EF9EF-67DF-7A45-60DE-C5BBA7616FC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1021080</xdr:colOff>
      <xdr:row>6</xdr:row>
      <xdr:rowOff>0</xdr:rowOff>
    </xdr:from>
    <xdr:to>
      <xdr:col>8</xdr:col>
      <xdr:colOff>601980</xdr:colOff>
      <xdr:row>23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0AC033D-EC61-9946-FFC9-7569CEE2671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548640</xdr:colOff>
      <xdr:row>2</xdr:row>
      <xdr:rowOff>7620</xdr:rowOff>
    </xdr:from>
    <xdr:to>
      <xdr:col>16</xdr:col>
      <xdr:colOff>472440</xdr:colOff>
      <xdr:row>22</xdr:row>
      <xdr:rowOff>11430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2792E3-614A-5747-CC57-6443A331DF3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NOVO" refreshedDate="46243.433096064815" createdVersion="8" refreshedVersion="8" minRefreshableVersion="3" recordCount="177" xr:uid="{10082F7B-327A-4865-BF75-1F4BA3A15B60}">
  <cacheSource type="worksheet">
    <worksheetSource ref="A1:P178" sheet="📋 Raw Data"/>
  </cacheSource>
  <cacheFields count="16">
    <cacheField name="Country" numFmtId="0">
      <sharedItems count="177">
        <s v="Sudan"/>
        <s v="Iraq"/>
        <s v="Somalia"/>
        <s v="Zimbabwe"/>
        <s v="Chad"/>
        <s v="Cote d'Ivoire"/>
        <s v="Congo Democratic Republic"/>
        <s v="Afghanistan"/>
        <s v="Guinea"/>
        <s v="Central African Republic"/>
        <s v="Haiti"/>
        <s v="Pakistan"/>
        <s v="North Korea"/>
        <s v="Myanmar"/>
        <s v="Uganda"/>
        <s v="Bangladesh"/>
        <s v="Nigeria"/>
        <s v="Ethiopia"/>
        <s v="Burundi"/>
        <s v="Timor-Leste"/>
        <s v="Nepal"/>
        <s v="Uzbekistan"/>
        <s v="Sierra Leone"/>
        <s v="Yemen"/>
        <s v="Sri Lanka"/>
        <s v="Congo Republic"/>
        <s v="Liberia"/>
        <s v="Lebanon"/>
        <s v="Malawi"/>
        <s v="Solomon Islands"/>
        <s v="Kenya"/>
        <s v="Niger"/>
        <s v="Burkina Faso"/>
        <s v="Colombia"/>
        <s v="Cameroon"/>
        <s v="Egypt"/>
        <s v="Rwanda"/>
        <s v="Guinea Bissau"/>
        <s v="Tajikistan"/>
        <s v="Syria"/>
        <s v="Equatorial Guinea"/>
        <s v="Kyrgyz Republic"/>
        <s v="Turkmenistan"/>
        <s v="Laos"/>
        <s v="Mauritania"/>
        <s v="Togo"/>
        <s v="Bhutan"/>
        <s v="Cambodia"/>
        <s v="Moldova"/>
        <s v="Eritrea"/>
        <s v="Belarus"/>
        <s v="Papua New Guinea"/>
        <s v="Angola"/>
        <s v="Bosnia and Herzegovina"/>
        <s v="Indonesia"/>
        <s v="Philippines"/>
        <s v="Iran"/>
        <s v="Georgia"/>
        <s v="Bolivia"/>
        <s v="Guatemala"/>
        <s v="Swaziland"/>
        <s v="Azerbaijan"/>
        <s v="China"/>
        <s v="Lesotho"/>
        <s v="Russia"/>
        <s v="Cape Verde"/>
        <s v="Maldives"/>
        <s v="Serbia  "/>
        <s v="Dominican Republic"/>
        <s v="Zambia"/>
        <s v="Djibouti"/>
        <s v="Nicaragua"/>
        <s v="Ecuador"/>
        <s v="Venezuela"/>
        <s v="Israel and West Bank"/>
        <s v="Tanzania"/>
        <s v="Cuba"/>
        <s v="Sao Tome and Principe"/>
        <s v="Comoros"/>
        <s v="Vietnam"/>
        <s v="Mozambique"/>
        <s v="Jordan"/>
        <s v="Madagascar"/>
        <s v="Saudi Arabia"/>
        <s v="Peru"/>
        <s v="Gambia"/>
        <s v="Morocco"/>
        <s v="Thailand"/>
        <s v="Algeria"/>
        <s v="Fiji"/>
        <s v="Mali"/>
        <s v="El Salvador"/>
        <s v="Turkey"/>
        <s v="Honduras"/>
        <s v="Macedonia"/>
        <s v="Suriname"/>
        <s v="Samoa"/>
        <s v="Micronesia"/>
        <s v="Gabon"/>
        <s v="Guyana"/>
        <s v="Paraguay"/>
        <s v="Mexico"/>
        <s v="Kazakhstan"/>
        <s v="Benin"/>
        <s v="Grenada"/>
        <s v="Ukraine"/>
        <s v="Namibia"/>
        <s v="Seychelles"/>
        <s v="Brunei Darussalam"/>
        <s v="India"/>
        <s v="Albania"/>
        <s v="Armenia"/>
        <s v="Cyprus"/>
        <s v="Belize"/>
        <s v="Libya"/>
        <s v="Trinidad and Tobago"/>
        <s v="Brazil"/>
        <s v="Senegal"/>
        <s v="Botswana"/>
        <s v="Malaysia"/>
        <s v="Antigua and Barbuda"/>
        <s v="Tunisia"/>
        <s v="Jamaica"/>
        <s v="Kuwait"/>
        <s v="Ghana"/>
        <s v="Romania"/>
        <s v="Croatia"/>
        <s v="Bulgaria"/>
        <s v="Bahamas"/>
        <s v="Barbados"/>
        <s v="Panama"/>
        <s v="Mongolia"/>
        <s v="South Africa"/>
        <s v="Bahrain"/>
        <s v="Latvia"/>
        <s v="Montenegro"/>
        <s v="Qatar"/>
        <s v="United Arab Emirates"/>
        <s v="Hungary"/>
        <s v="Costa Rica"/>
        <s v="Estonia"/>
        <s v="Slovak Republic"/>
        <s v="Lithuania"/>
        <s v="Malta"/>
        <s v="Poland"/>
        <s v="Oman"/>
        <s v="Greece"/>
        <s v="Mauritius"/>
        <s v="Czech Republic"/>
        <s v="Argentina"/>
        <s v="Uruguay"/>
        <s v="South Korea"/>
        <s v="Spain"/>
        <s v="Germany"/>
        <s v="Slovenia"/>
        <s v="Italy"/>
        <s v="France"/>
        <s v="United Kingdom"/>
        <s v="Chile"/>
        <s v="United States"/>
        <s v="Singapore"/>
        <s v="Portugal"/>
        <s v="Netherlands"/>
        <s v="Japan"/>
        <s v="Luxembourg"/>
        <s v="Austria"/>
        <s v="Belgium"/>
        <s v="Canada"/>
        <s v="Australia"/>
        <s v="Denmark"/>
        <s v="Iceland"/>
        <s v="New Zealand"/>
        <s v="Switzerland"/>
        <s v="Ireland"/>
        <s v="Sweden"/>
        <s v="Finland"/>
        <s v="Norway"/>
      </sharedItems>
    </cacheField>
    <cacheField name="Year" numFmtId="165">
      <sharedItems containsSemiMixedTypes="0" containsNonDate="0" containsDate="1" containsString="0" minDate="2007-01-01T00:00:00" maxDate="2007-01-02T00:00:00"/>
    </cacheField>
    <cacheField name="Rank" numFmtId="0">
      <sharedItems/>
    </cacheField>
    <cacheField name="Total" numFmtId="164">
      <sharedItems containsSemiMixedTypes="0" containsString="0" containsNumber="1" minValue="17.100000000000001" maxValue="113.7" count="156">
        <n v="113.7"/>
        <n v="111.4"/>
        <n v="111.1"/>
        <n v="110.1"/>
        <n v="108.8"/>
        <n v="107.3"/>
        <n v="105.5"/>
        <n v="102.3"/>
        <n v="101.3"/>
        <n v="101"/>
        <n v="100.9"/>
        <n v="100.1"/>
        <n v="97.7"/>
        <n v="97"/>
        <n v="96.4"/>
        <n v="95.9"/>
        <n v="95.6"/>
        <n v="95.3"/>
        <n v="95.2"/>
        <n v="94.9"/>
        <n v="93.6"/>
        <n v="93.5"/>
        <n v="93.4"/>
        <n v="93.2"/>
        <n v="93.1"/>
        <n v="93"/>
        <n v="92.9"/>
        <n v="92.4"/>
        <n v="92.2"/>
        <n v="92"/>
        <n v="91.3"/>
        <n v="91.2"/>
        <n v="89.7"/>
        <n v="89.4"/>
        <n v="89.2"/>
        <n v="88.8"/>
        <n v="88.7"/>
        <n v="88.6"/>
        <n v="88.2"/>
        <n v="87.5"/>
        <n v="87.2"/>
        <n v="86.7"/>
        <n v="86.6"/>
        <n v="86.4"/>
        <n v="85.7"/>
        <n v="85.5"/>
        <n v="85.2"/>
        <n v="85.1"/>
        <n v="84.9"/>
        <n v="84.5"/>
        <n v="84.4"/>
        <n v="83.2"/>
        <n v="82.8"/>
        <n v="82.3"/>
        <n v="82"/>
        <n v="81.400000000000006"/>
        <n v="81.3"/>
        <n v="81.2"/>
        <n v="81.099999999999994"/>
        <n v="80.599999999999994"/>
        <n v="80.3"/>
        <n v="80"/>
        <n v="79.900000000000006"/>
        <n v="79.8"/>
        <n v="79.599999999999994"/>
        <n v="79.3"/>
        <n v="78.599999999999994"/>
        <n v="77.8"/>
        <n v="76.900000000000006"/>
        <n v="76.599999999999994"/>
        <n v="76.5"/>
        <n v="76.400000000000006"/>
        <n v="76"/>
        <n v="75.900000000000006"/>
        <n v="75.7"/>
        <n v="75.5"/>
        <n v="74.900000000000006"/>
        <n v="74.8"/>
        <n v="74.099999999999994"/>
        <n v="73.900000000000006"/>
        <n v="73.8"/>
        <n v="73.5"/>
        <n v="73.3"/>
        <n v="72.900000000000006"/>
        <n v="72.599999999999994"/>
        <n v="72.3"/>
        <n v="72"/>
        <n v="71.599999999999994"/>
        <n v="71.400000000000006"/>
        <n v="71.3"/>
        <n v="71.2"/>
        <n v="70.8"/>
        <n v="70.5"/>
        <n v="70.3"/>
        <n v="70.2"/>
        <n v="69.8"/>
        <n v="69.3"/>
        <n v="67.599999999999994"/>
        <n v="66.900000000000006"/>
        <n v="66.400000000000006"/>
        <n v="65.900000000000006"/>
        <n v="65.7"/>
        <n v="65.599999999999994"/>
        <n v="65.099999999999994"/>
        <n v="62.1"/>
        <n v="61.9"/>
        <n v="60.9"/>
        <n v="60.5"/>
        <n v="60.3"/>
        <n v="60.1"/>
        <n v="59.9"/>
        <n v="59.4"/>
        <n v="58.4"/>
        <n v="57.4"/>
        <n v="57"/>
        <n v="56.7"/>
        <n v="55.6"/>
        <n v="53.6"/>
        <n v="51.6"/>
        <n v="51.2"/>
        <n v="50.5"/>
        <n v="49.3"/>
        <n v="49"/>
        <n v="48.5"/>
        <n v="47.6"/>
        <n v="45.5"/>
        <n v="43.5"/>
        <n v="42.7"/>
        <n v="42.1"/>
        <n v="41.4"/>
        <n v="40.9"/>
        <n v="39.700000000000003"/>
        <n v="39.200000000000003"/>
        <n v="38.4"/>
        <n v="37.5"/>
        <n v="37.1"/>
        <n v="34.1"/>
        <n v="33.799999999999997"/>
        <n v="33.6"/>
        <n v="33"/>
        <n v="32.4"/>
        <n v="28.6"/>
        <n v="28.5"/>
        <n v="28.1"/>
        <n v="26"/>
        <n v="25.5"/>
        <n v="25.1"/>
        <n v="23.2"/>
        <n v="22.2"/>
        <n v="21.1"/>
        <n v="20.5"/>
        <n v="20.2"/>
        <n v="19.5"/>
        <n v="19.3"/>
        <n v="18.5"/>
        <n v="17.100000000000001"/>
      </sharedItems>
    </cacheField>
    <cacheField name="C1: Security Apparatus" numFmtId="164">
      <sharedItems containsSemiMixedTypes="0" containsString="0" containsNumber="1" minValue="0.9" maxValue="10"/>
    </cacheField>
    <cacheField name="C2: Factionalized Elites" numFmtId="164">
      <sharedItems containsSemiMixedTypes="0" containsString="0" containsNumber="1" minValue="0.7" maxValue="10"/>
    </cacheField>
    <cacheField name="C3: Group Grievance" numFmtId="164">
      <sharedItems containsSemiMixedTypes="0" containsString="0" containsNumber="1" minValue="1" maxValue="10"/>
    </cacheField>
    <cacheField name="E1: Economy" numFmtId="164">
      <sharedItems containsSemiMixedTypes="0" containsString="0" containsNumber="1" minValue="1.3" maxValue="10"/>
    </cacheField>
    <cacheField name="E2: Economic Inequality" numFmtId="164">
      <sharedItems containsSemiMixedTypes="0" containsString="0" containsNumber="1" minValue="1.9" maxValue="9.5"/>
    </cacheField>
    <cacheField name="E3: Human Flight and Brain Drain" numFmtId="164">
      <sharedItems containsSemiMixedTypes="0" containsString="0" containsNumber="1" minValue="1" maxValue="9.5"/>
    </cacheField>
    <cacheField name="P1: State Legitimacy" numFmtId="164">
      <sharedItems containsSemiMixedTypes="0" containsString="0" containsNumber="1" minValue="0.9" maxValue="10"/>
    </cacheField>
    <cacheField name="P2: Public Services" numFmtId="164">
      <sharedItems containsSemiMixedTypes="0" containsString="0" containsNumber="1" minValue="1.2" maxValue="10"/>
    </cacheField>
    <cacheField name="P3: Human Rights" numFmtId="164">
      <sharedItems containsSemiMixedTypes="0" containsString="0" containsNumber="1" minValue="1.4" maxValue="10"/>
    </cacheField>
    <cacheField name="S1: Demographic Pressures" numFmtId="164">
      <sharedItems containsSemiMixedTypes="0" containsString="0" containsNumber="1" minValue="1" maxValue="9.6999999999999993"/>
    </cacheField>
    <cacheField name="S2: Refugees and IDPs" numFmtId="164">
      <sharedItems containsSemiMixedTypes="0" containsString="0" containsNumber="1" minValue="0.9" maxValue="9.8000000000000007"/>
    </cacheField>
    <cacheField name="X1: External Intervention" numFmtId="164">
      <sharedItems containsSemiMixedTypes="0" containsString="0" containsNumber="1" minValue="0.9" maxValue="1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7">
  <r>
    <x v="0"/>
    <d v="2007-01-01T00:00:00"/>
    <s v="1st"/>
    <x v="0"/>
    <n v="9.9"/>
    <n v="9.6999999999999993"/>
    <n v="10"/>
    <n v="7.7"/>
    <n v="9.1"/>
    <n v="9"/>
    <n v="10"/>
    <n v="9.5"/>
    <n v="10"/>
    <n v="9.1999999999999993"/>
    <n v="9.8000000000000007"/>
    <n v="9.8000000000000007"/>
  </r>
  <r>
    <x v="1"/>
    <d v="2007-01-01T00:00:00"/>
    <s v="2nd"/>
    <x v="1"/>
    <n v="10"/>
    <n v="9.8000000000000007"/>
    <n v="10"/>
    <n v="8"/>
    <n v="8.5"/>
    <n v="9.5"/>
    <n v="9.4"/>
    <n v="8.5"/>
    <n v="9.6999999999999993"/>
    <n v="9"/>
    <n v="9"/>
    <n v="10"/>
  </r>
  <r>
    <x v="2"/>
    <d v="2007-01-01T00:00:00"/>
    <s v="3rd"/>
    <x v="2"/>
    <n v="10"/>
    <n v="10"/>
    <n v="8.5"/>
    <n v="9.1999999999999993"/>
    <n v="7.5"/>
    <n v="8"/>
    <n v="10"/>
    <n v="10"/>
    <n v="9.6999999999999993"/>
    <n v="9.1999999999999993"/>
    <n v="9"/>
    <n v="10"/>
  </r>
  <r>
    <x v="3"/>
    <d v="2007-01-01T00:00:00"/>
    <s v="4th"/>
    <x v="3"/>
    <n v="9.5"/>
    <n v="9"/>
    <n v="8.8000000000000007"/>
    <n v="10"/>
    <n v="9.5"/>
    <n v="9.1"/>
    <n v="9.5"/>
    <n v="9.6"/>
    <n v="9.6999999999999993"/>
    <n v="9.6999999999999993"/>
    <n v="8.6999999999999993"/>
    <n v="7"/>
  </r>
  <r>
    <x v="4"/>
    <d v="2007-01-01T00:00:00"/>
    <s v="5th"/>
    <x v="4"/>
    <n v="9.6"/>
    <n v="9.6999999999999993"/>
    <n v="9.5"/>
    <n v="8.3000000000000007"/>
    <n v="9"/>
    <n v="7.9"/>
    <n v="9.5"/>
    <n v="9.1"/>
    <n v="9.1999999999999993"/>
    <n v="9.1"/>
    <n v="8.9"/>
    <n v="9"/>
  </r>
  <r>
    <x v="5"/>
    <d v="2007-01-01T00:00:00"/>
    <s v="6th"/>
    <x v="5"/>
    <n v="9.6"/>
    <n v="9.3000000000000007"/>
    <n v="9.8000000000000007"/>
    <n v="8.9"/>
    <n v="8"/>
    <n v="8.4"/>
    <n v="9.5"/>
    <n v="7.9"/>
    <n v="9.1999999999999993"/>
    <n v="8.6"/>
    <n v="8.3000000000000007"/>
    <n v="9.8000000000000007"/>
  </r>
  <r>
    <x v="6"/>
    <d v="2007-01-01T00:00:00"/>
    <s v="7th"/>
    <x v="6"/>
    <n v="9.6"/>
    <n v="8.6"/>
    <n v="8.8000000000000007"/>
    <n v="8"/>
    <n v="9.1"/>
    <n v="7.6"/>
    <n v="8.3000000000000007"/>
    <n v="8.6999999999999993"/>
    <n v="8.9"/>
    <n v="9.4"/>
    <n v="8.9"/>
    <n v="9.6"/>
  </r>
  <r>
    <x v="7"/>
    <d v="2007-01-01T00:00:00"/>
    <s v="8th"/>
    <x v="7"/>
    <n v="9"/>
    <n v="8.5"/>
    <n v="9.1"/>
    <n v="8.3000000000000007"/>
    <n v="8"/>
    <n v="7"/>
    <n v="8.8000000000000007"/>
    <n v="8"/>
    <n v="8.1999999999999993"/>
    <n v="8.5"/>
    <n v="8.9"/>
    <n v="10"/>
  </r>
  <r>
    <x v="8"/>
    <d v="2007-01-01T00:00:00"/>
    <s v="9th"/>
    <x v="8"/>
    <n v="8.1"/>
    <n v="9"/>
    <n v="8.1"/>
    <n v="8.5"/>
    <n v="8.5"/>
    <n v="8.3000000000000007"/>
    <n v="9.6"/>
    <n v="8.9"/>
    <n v="8.6"/>
    <n v="7.8"/>
    <n v="7.4"/>
    <n v="8.5"/>
  </r>
  <r>
    <x v="9"/>
    <d v="2007-01-01T00:00:00"/>
    <s v="10th"/>
    <x v="9"/>
    <n v="8.9"/>
    <n v="9.3000000000000007"/>
    <n v="8.8000000000000007"/>
    <n v="8.4"/>
    <n v="8.6"/>
    <n v="5.5"/>
    <n v="9"/>
    <n v="8"/>
    <n v="8.1999999999999993"/>
    <n v="8.9"/>
    <n v="8.4"/>
    <n v="9"/>
  </r>
  <r>
    <x v="10"/>
    <d v="2007-01-01T00:00:00"/>
    <s v="11th"/>
    <x v="10"/>
    <n v="9.3000000000000007"/>
    <n v="9.3000000000000007"/>
    <n v="8"/>
    <n v="8.4"/>
    <n v="8.1999999999999993"/>
    <n v="8"/>
    <n v="9.1999999999999993"/>
    <n v="9"/>
    <n v="9.1"/>
    <n v="8.6"/>
    <n v="4.2"/>
    <n v="9.6"/>
  </r>
  <r>
    <x v="11"/>
    <d v="2007-01-01T00:00:00"/>
    <s v="12th"/>
    <x v="11"/>
    <n v="9.5"/>
    <n v="9.5"/>
    <n v="9"/>
    <n v="5.8"/>
    <n v="8.5"/>
    <n v="8.1"/>
    <n v="8.6999999999999993"/>
    <n v="7.1"/>
    <n v="8.6999999999999993"/>
    <n v="8.1999999999999993"/>
    <n v="8.5"/>
    <n v="8.5"/>
  </r>
  <r>
    <x v="12"/>
    <d v="2007-01-01T00:00:00"/>
    <s v="13th"/>
    <x v="12"/>
    <n v="8.3000000000000007"/>
    <n v="7.9"/>
    <n v="7.2"/>
    <n v="9.6"/>
    <n v="8.8000000000000007"/>
    <n v="5"/>
    <n v="9.8000000000000007"/>
    <n v="9.5"/>
    <n v="9.6999999999999993"/>
    <n v="8"/>
    <n v="6"/>
    <n v="7.9"/>
  </r>
  <r>
    <x v="13"/>
    <d v="2007-01-01T00:00:00"/>
    <s v="14th"/>
    <x v="13"/>
    <n v="9"/>
    <n v="8.1999999999999993"/>
    <n v="9.1"/>
    <n v="7.6"/>
    <n v="8.9"/>
    <n v="6"/>
    <n v="9.1"/>
    <n v="8.3000000000000007"/>
    <n v="9.8000000000000007"/>
    <n v="8.5"/>
    <n v="8.5"/>
    <n v="4"/>
  </r>
  <r>
    <x v="14"/>
    <d v="2007-01-01T00:00:00"/>
    <s v="15th"/>
    <x v="14"/>
    <n v="8.3000000000000007"/>
    <n v="7.8"/>
    <n v="8.5"/>
    <n v="7.5"/>
    <n v="8.5"/>
    <n v="6"/>
    <n v="8.5"/>
    <n v="8.1999999999999993"/>
    <n v="8.1999999999999993"/>
    <n v="8.1"/>
    <n v="9.4"/>
    <n v="7.4"/>
  </r>
  <r>
    <x v="15"/>
    <d v="2007-01-01T00:00:00"/>
    <s v="16th"/>
    <x v="15"/>
    <n v="8"/>
    <n v="9.5"/>
    <n v="9.6"/>
    <n v="6.9"/>
    <n v="9"/>
    <n v="8.4"/>
    <n v="9"/>
    <n v="7.4"/>
    <n v="7.8"/>
    <n v="8.6"/>
    <n v="5.8"/>
    <n v="5.9"/>
  </r>
  <r>
    <x v="16"/>
    <d v="2007-01-01T00:00:00"/>
    <s v="17th"/>
    <x v="16"/>
    <n v="9.1999999999999993"/>
    <n v="9.5"/>
    <n v="9.5"/>
    <n v="5.4"/>
    <n v="9.1"/>
    <n v="8.5"/>
    <n v="9.1"/>
    <n v="8.6999999999999993"/>
    <n v="7.1"/>
    <n v="8.1999999999999993"/>
    <n v="5.6"/>
    <n v="5.7"/>
  </r>
  <r>
    <x v="17"/>
    <d v="2007-01-01T00:00:00"/>
    <s v="18th"/>
    <x v="17"/>
    <n v="7.5"/>
    <n v="8.9"/>
    <n v="7.8"/>
    <n v="8"/>
    <n v="8.6"/>
    <n v="7.5"/>
    <n v="7.9"/>
    <n v="7"/>
    <n v="8.5"/>
    <n v="9"/>
    <n v="7.9"/>
    <n v="6.7"/>
  </r>
  <r>
    <x v="18"/>
    <d v="2007-01-01T00:00:00"/>
    <s v="19th"/>
    <x v="18"/>
    <n v="6.8"/>
    <n v="7.5"/>
    <n v="6.7"/>
    <n v="8.1999999999999993"/>
    <n v="8.8000000000000007"/>
    <n v="6.7"/>
    <n v="7.1"/>
    <n v="8.9"/>
    <n v="7.5"/>
    <n v="9.1"/>
    <n v="8.9"/>
    <n v="9"/>
  </r>
  <r>
    <x v="19"/>
    <d v="2007-01-01T00:00:00"/>
    <s v="20th"/>
    <x v="19"/>
    <n v="9"/>
    <n v="8.8000000000000007"/>
    <n v="7.1"/>
    <n v="8.5"/>
    <n v="6.5"/>
    <n v="5.3"/>
    <n v="9.5"/>
    <n v="7.9"/>
    <n v="6.9"/>
    <n v="8.1"/>
    <n v="8.5"/>
    <n v="8.8000000000000007"/>
  </r>
  <r>
    <x v="20"/>
    <d v="2007-01-01T00:00:00"/>
    <s v="21st"/>
    <x v="20"/>
    <n v="8.3000000000000007"/>
    <n v="8.5"/>
    <n v="8.9"/>
    <n v="8.1999999999999993"/>
    <n v="9.1999999999999993"/>
    <n v="6.1"/>
    <n v="8.5"/>
    <n v="6.6"/>
    <n v="8.8000000000000007"/>
    <n v="8.1"/>
    <n v="5.2"/>
    <n v="7.2"/>
  </r>
  <r>
    <x v="21"/>
    <d v="2007-01-01T00:00:00"/>
    <s v="22nd"/>
    <x v="21"/>
    <n v="8.9"/>
    <n v="9.1999999999999993"/>
    <n v="7.1"/>
    <n v="7.5"/>
    <n v="8.6"/>
    <n v="7.1"/>
    <n v="9.1999999999999993"/>
    <n v="6.8"/>
    <n v="9"/>
    <n v="7.7"/>
    <n v="5.4"/>
    <n v="7"/>
  </r>
  <r>
    <x v="22"/>
    <d v="2007-01-01T00:00:00"/>
    <s v="23rd"/>
    <x v="22"/>
    <n v="6.5"/>
    <n v="7.7"/>
    <n v="7.1"/>
    <n v="8.6999999999999993"/>
    <n v="8.6999999999999993"/>
    <n v="8.6999999999999993"/>
    <n v="8"/>
    <n v="8"/>
    <n v="7"/>
    <n v="8.6"/>
    <n v="7.4"/>
    <n v="7"/>
  </r>
  <r>
    <x v="23"/>
    <d v="2007-01-01T00:00:00"/>
    <s v="24th"/>
    <x v="23"/>
    <n v="8"/>
    <n v="9"/>
    <n v="7.3"/>
    <n v="8"/>
    <n v="8.6999999999999993"/>
    <n v="7.2"/>
    <n v="7.8"/>
    <n v="8.1"/>
    <n v="7.2"/>
    <n v="8"/>
    <n v="6.7"/>
    <n v="7.2"/>
  </r>
  <r>
    <x v="24"/>
    <d v="2007-01-01T00:00:00"/>
    <s v="25th"/>
    <x v="24"/>
    <n v="8.6999999999999993"/>
    <n v="9.1999999999999993"/>
    <n v="9.5"/>
    <n v="6"/>
    <n v="8.1999999999999993"/>
    <n v="6.9"/>
    <n v="8.9"/>
    <n v="6.5"/>
    <n v="7.5"/>
    <n v="7"/>
    <n v="8.6"/>
    <n v="6.1"/>
  </r>
  <r>
    <x v="25"/>
    <d v="2007-01-01T00:00:00"/>
    <s v="26th"/>
    <x v="25"/>
    <n v="7.9"/>
    <n v="7.2"/>
    <n v="6.8"/>
    <n v="8.3000000000000007"/>
    <n v="8.1"/>
    <n v="6.1"/>
    <n v="8.5"/>
    <n v="8.8000000000000007"/>
    <n v="7.9"/>
    <n v="8.6999999999999993"/>
    <n v="7.3"/>
    <n v="7.4"/>
  </r>
  <r>
    <x v="26"/>
    <d v="2007-01-01T00:00:00"/>
    <s v="27th"/>
    <x v="26"/>
    <n v="6.9"/>
    <n v="8.1"/>
    <n v="6.5"/>
    <n v="8.4"/>
    <n v="8.3000000000000007"/>
    <n v="6.8"/>
    <n v="7"/>
    <n v="8.6"/>
    <n v="6.7"/>
    <n v="8.1"/>
    <n v="8.5"/>
    <n v="9"/>
  </r>
  <r>
    <x v="27"/>
    <d v="2007-01-01T00:00:00"/>
    <s v="28th"/>
    <x v="27"/>
    <n v="9"/>
    <n v="8.8000000000000007"/>
    <n v="9"/>
    <n v="6.3"/>
    <n v="7.1"/>
    <n v="7"/>
    <n v="7.3"/>
    <n v="6.4"/>
    <n v="7"/>
    <n v="6.9"/>
    <n v="8.6"/>
    <n v="9"/>
  </r>
  <r>
    <x v="28"/>
    <d v="2007-01-01T00:00:00"/>
    <s v="29th"/>
    <x v="28"/>
    <n v="5.4"/>
    <n v="7.5"/>
    <n v="6"/>
    <n v="9.1999999999999993"/>
    <n v="8.8000000000000007"/>
    <n v="8"/>
    <n v="7.9"/>
    <n v="9"/>
    <n v="8"/>
    <n v="9"/>
    <n v="6"/>
    <n v="7.4"/>
  </r>
  <r>
    <x v="29"/>
    <d v="2007-01-01T00:00:00"/>
    <s v="30th"/>
    <x v="29"/>
    <n v="7.7"/>
    <n v="8.8000000000000007"/>
    <n v="8"/>
    <n v="8"/>
    <n v="8"/>
    <n v="5.0999999999999996"/>
    <n v="8.5"/>
    <n v="8.5"/>
    <n v="7.1"/>
    <n v="8.5"/>
    <n v="4.8"/>
    <n v="9"/>
  </r>
  <r>
    <x v="30"/>
    <d v="2007-01-01T00:00:00"/>
    <s v="31st"/>
    <x v="30"/>
    <n v="7.1"/>
    <n v="8.1999999999999993"/>
    <n v="6.9"/>
    <n v="7"/>
    <n v="8.1"/>
    <n v="8"/>
    <n v="8"/>
    <n v="7.4"/>
    <n v="7"/>
    <n v="8.4"/>
    <n v="8"/>
    <n v="7.2"/>
  </r>
  <r>
    <x v="31"/>
    <d v="2007-01-01T00:00:00"/>
    <s v="32nd"/>
    <x v="31"/>
    <n v="6.7"/>
    <n v="6"/>
    <n v="8.9"/>
    <n v="9.1999999999999993"/>
    <n v="7.2"/>
    <n v="6"/>
    <n v="8.1999999999999993"/>
    <n v="8.8000000000000007"/>
    <n v="7.1"/>
    <n v="9.1999999999999993"/>
    <n v="5.9"/>
    <n v="8"/>
  </r>
  <r>
    <x v="32"/>
    <d v="2007-01-01T00:00:00"/>
    <s v="33rd"/>
    <x v="32"/>
    <n v="7.6"/>
    <n v="7.7"/>
    <n v="6.4"/>
    <n v="8.1999999999999993"/>
    <n v="8.9"/>
    <n v="6.6"/>
    <n v="7.6"/>
    <n v="8.9"/>
    <n v="6.6"/>
    <n v="8.6"/>
    <n v="5.6"/>
    <n v="7"/>
  </r>
  <r>
    <x v="33"/>
    <d v="2007-01-01T00:00:00"/>
    <s v="33rd"/>
    <x v="32"/>
    <n v="8.3000000000000007"/>
    <n v="8.5"/>
    <n v="7.4"/>
    <n v="3.8"/>
    <n v="8.4"/>
    <n v="8.4"/>
    <n v="8.1999999999999993"/>
    <n v="6"/>
    <n v="7.4"/>
    <n v="6.8"/>
    <n v="9.5"/>
    <n v="7"/>
  </r>
  <r>
    <x v="34"/>
    <d v="2007-01-01T00:00:00"/>
    <s v="35th"/>
    <x v="33"/>
    <n v="7.7"/>
    <n v="8"/>
    <n v="7"/>
    <n v="6.1"/>
    <n v="8.6999999999999993"/>
    <n v="7.9"/>
    <n v="8.5"/>
    <n v="7.5"/>
    <n v="7.2"/>
    <n v="7"/>
    <n v="6.8"/>
    <n v="7"/>
  </r>
  <r>
    <x v="35"/>
    <d v="2007-01-01T00:00:00"/>
    <s v="36th"/>
    <x v="34"/>
    <n v="6.1"/>
    <n v="8.3000000000000007"/>
    <n v="7.8"/>
    <n v="7"/>
    <n v="7.8"/>
    <n v="6.2"/>
    <n v="9"/>
    <n v="6.7"/>
    <n v="8.5"/>
    <n v="7.7"/>
    <n v="6.5"/>
    <n v="7.6"/>
  </r>
  <r>
    <x v="36"/>
    <d v="2007-01-01T00:00:00"/>
    <s v="36th"/>
    <x v="34"/>
    <n v="4.5999999999999996"/>
    <n v="8.1999999999999993"/>
    <n v="8.6999999999999993"/>
    <n v="7.5"/>
    <n v="7.1"/>
    <n v="7.6"/>
    <n v="8.5"/>
    <n v="6.9"/>
    <n v="7.4"/>
    <n v="9.1"/>
    <n v="7"/>
    <n v="6.6"/>
  </r>
  <r>
    <x v="37"/>
    <d v="2007-01-01T00:00:00"/>
    <s v="38th"/>
    <x v="35"/>
    <n v="8"/>
    <n v="6.8"/>
    <n v="5.4"/>
    <n v="8"/>
    <n v="8.6"/>
    <n v="7"/>
    <n v="7.2"/>
    <n v="8.5"/>
    <n v="8"/>
    <n v="7.6"/>
    <n v="6.5"/>
    <n v="7.2"/>
  </r>
  <r>
    <x v="38"/>
    <d v="2007-01-01T00:00:00"/>
    <s v="39th"/>
    <x v="36"/>
    <n v="7.8"/>
    <n v="8.8000000000000007"/>
    <n v="6.3"/>
    <n v="7.3"/>
    <n v="7.3"/>
    <n v="6.4"/>
    <n v="9"/>
    <n v="7.3"/>
    <n v="8.6"/>
    <n v="7.7"/>
    <n v="6.1"/>
    <n v="6.1"/>
  </r>
  <r>
    <x v="39"/>
    <d v="2007-01-01T00:00:00"/>
    <s v="40th"/>
    <x v="37"/>
    <n v="7.4"/>
    <n v="7.5"/>
    <n v="8"/>
    <n v="6.8"/>
    <n v="8.1"/>
    <n v="6.8"/>
    <n v="8.5"/>
    <n v="5.3"/>
    <n v="8.5"/>
    <n v="6.5"/>
    <n v="8.9"/>
    <n v="6.3"/>
  </r>
  <r>
    <x v="40"/>
    <d v="2007-01-01T00:00:00"/>
    <s v="41st"/>
    <x v="38"/>
    <n v="8.9"/>
    <n v="8.5"/>
    <n v="7"/>
    <n v="4"/>
    <n v="9"/>
    <n v="7.4"/>
    <n v="9.4"/>
    <n v="8.6"/>
    <n v="9.4"/>
    <n v="8"/>
    <n v="2"/>
    <n v="6"/>
  </r>
  <r>
    <x v="41"/>
    <d v="2007-01-01T00:00:00"/>
    <s v="41st"/>
    <x v="38"/>
    <n v="7.9"/>
    <n v="7.5"/>
    <n v="6.8"/>
    <n v="7.5"/>
    <n v="8"/>
    <n v="7.4"/>
    <n v="8.1999999999999993"/>
    <n v="6.3"/>
    <n v="7.9"/>
    <n v="7.5"/>
    <n v="6.2"/>
    <n v="7"/>
  </r>
  <r>
    <x v="42"/>
    <d v="2007-01-01T00:00:00"/>
    <s v="43rd"/>
    <x v="39"/>
    <n v="8.5"/>
    <n v="8.1999999999999993"/>
    <n v="6.2"/>
    <n v="7.4"/>
    <n v="7.3"/>
    <n v="5.6"/>
    <n v="9"/>
    <n v="7.7"/>
    <n v="9.6"/>
    <n v="7"/>
    <n v="4.5"/>
    <n v="6.5"/>
  </r>
  <r>
    <x v="43"/>
    <d v="2007-01-01T00:00:00"/>
    <s v="44th"/>
    <x v="40"/>
    <n v="8.1999999999999993"/>
    <n v="8.6"/>
    <n v="6.5"/>
    <n v="7.1"/>
    <n v="5.7"/>
    <n v="6.6"/>
    <n v="7.9"/>
    <n v="8"/>
    <n v="8.5"/>
    <n v="8"/>
    <n v="5.5"/>
    <n v="6.6"/>
  </r>
  <r>
    <x v="44"/>
    <d v="2007-01-01T00:00:00"/>
    <s v="45th"/>
    <x v="41"/>
    <n v="7.4"/>
    <n v="7.9"/>
    <n v="8"/>
    <n v="7.8"/>
    <n v="7"/>
    <n v="5"/>
    <n v="6.8"/>
    <n v="8.1"/>
    <n v="7.1"/>
    <n v="8.6999999999999993"/>
    <n v="6.2"/>
    <n v="6.7"/>
  </r>
  <r>
    <x v="45"/>
    <d v="2007-01-01T00:00:00"/>
    <s v="46th"/>
    <x v="42"/>
    <n v="7.8"/>
    <n v="7.6"/>
    <n v="6"/>
    <n v="8.1999999999999993"/>
    <n v="7.5"/>
    <n v="6.5"/>
    <n v="7.7"/>
    <n v="8"/>
    <n v="7.8"/>
    <n v="7.5"/>
    <n v="5.4"/>
    <n v="6.6"/>
  </r>
  <r>
    <x v="46"/>
    <d v="2007-01-01T00:00:00"/>
    <s v="47th"/>
    <x v="43"/>
    <n v="4.5999999999999996"/>
    <n v="8"/>
    <n v="7"/>
    <n v="7.9"/>
    <n v="8.6999999999999993"/>
    <n v="6.7"/>
    <n v="8"/>
    <n v="6.5"/>
    <n v="8.5"/>
    <n v="6.5"/>
    <n v="7.5"/>
    <n v="6.5"/>
  </r>
  <r>
    <x v="47"/>
    <d v="2007-01-01T00:00:00"/>
    <s v="48th"/>
    <x v="44"/>
    <n v="6.2"/>
    <n v="7.5"/>
    <n v="7.3"/>
    <n v="6.4"/>
    <n v="7.2"/>
    <n v="8"/>
    <n v="8.5"/>
    <n v="7.6"/>
    <n v="7.1"/>
    <n v="7.6"/>
    <n v="5.9"/>
    <n v="6.4"/>
  </r>
  <r>
    <x v="48"/>
    <d v="2007-01-01T00:00:00"/>
    <s v="48th"/>
    <x v="44"/>
    <n v="6.3"/>
    <n v="7.5"/>
    <n v="7.3"/>
    <n v="7.5"/>
    <n v="7.5"/>
    <n v="8.4"/>
    <n v="7.9"/>
    <n v="7.1"/>
    <n v="6.8"/>
    <n v="7"/>
    <n v="4.7"/>
    <n v="7.7"/>
  </r>
  <r>
    <x v="49"/>
    <d v="2007-01-01T00:00:00"/>
    <s v="50th"/>
    <x v="45"/>
    <n v="7.5"/>
    <n v="7.2"/>
    <n v="5.4"/>
    <n v="8.4"/>
    <n v="5.9"/>
    <n v="6"/>
    <n v="8.3000000000000007"/>
    <n v="7.7"/>
    <n v="7.4"/>
    <n v="8.1"/>
    <n v="7.1"/>
    <n v="6.5"/>
  </r>
  <r>
    <x v="50"/>
    <d v="2007-01-01T00:00:00"/>
    <s v="51st"/>
    <x v="46"/>
    <n v="6.7"/>
    <n v="8.5"/>
    <n v="6.5"/>
    <n v="6.8"/>
    <n v="7.5"/>
    <n v="5"/>
    <n v="9.1"/>
    <n v="6.9"/>
    <n v="8.5"/>
    <n v="8"/>
    <n v="4.5999999999999996"/>
    <n v="7.1"/>
  </r>
  <r>
    <x v="51"/>
    <d v="2007-01-01T00:00:00"/>
    <s v="52nd"/>
    <x v="47"/>
    <n v="7"/>
    <n v="6.7"/>
    <n v="8"/>
    <n v="7.3"/>
    <n v="9"/>
    <n v="7.9"/>
    <n v="7.8"/>
    <n v="7.8"/>
    <n v="6.1"/>
    <n v="7.5"/>
    <n v="3.5"/>
    <n v="6.5"/>
  </r>
  <r>
    <x v="52"/>
    <d v="2007-01-01T00:00:00"/>
    <s v="53rd"/>
    <x v="48"/>
    <n v="6.2"/>
    <n v="7.5"/>
    <n v="5.9"/>
    <n v="4.2"/>
    <n v="8.6999999999999993"/>
    <n v="5"/>
    <n v="8.6"/>
    <n v="7.7"/>
    <n v="7.5"/>
    <n v="8.5"/>
    <n v="7.5"/>
    <n v="7.6"/>
  </r>
  <r>
    <x v="53"/>
    <d v="2007-01-01T00:00:00"/>
    <s v="54th"/>
    <x v="49"/>
    <n v="7.3"/>
    <n v="8.3000000000000007"/>
    <n v="8.3000000000000007"/>
    <n v="6"/>
    <n v="7.2"/>
    <n v="6"/>
    <n v="7.6"/>
    <n v="5.6"/>
    <n v="5.3"/>
    <n v="6.1"/>
    <n v="8"/>
    <n v="8.8000000000000007"/>
  </r>
  <r>
    <x v="54"/>
    <d v="2007-01-01T00:00:00"/>
    <s v="55th"/>
    <x v="50"/>
    <n v="7.3"/>
    <n v="7.2"/>
    <n v="6"/>
    <n v="6.5"/>
    <n v="8"/>
    <n v="7.5"/>
    <n v="6.5"/>
    <n v="7"/>
    <n v="7"/>
    <n v="7"/>
    <n v="7.5"/>
    <n v="6.9"/>
  </r>
  <r>
    <x v="55"/>
    <d v="2007-01-01T00:00:00"/>
    <s v="56th"/>
    <x v="51"/>
    <n v="7.6"/>
    <n v="7.8"/>
    <n v="7.2"/>
    <n v="5.8"/>
    <n v="7.6"/>
    <n v="6.7"/>
    <n v="8.1999999999999993"/>
    <n v="5.9"/>
    <n v="6.8"/>
    <n v="7"/>
    <n v="5.7"/>
    <n v="6.9"/>
  </r>
  <r>
    <x v="56"/>
    <d v="2007-01-01T00:00:00"/>
    <s v="57th"/>
    <x v="52"/>
    <n v="8.3000000000000007"/>
    <n v="8.9"/>
    <n v="7.1"/>
    <n v="3.3"/>
    <n v="7.2"/>
    <n v="5"/>
    <n v="7.8"/>
    <n v="5.7"/>
    <n v="8.6999999999999993"/>
    <n v="6.2"/>
    <n v="8.6"/>
    <n v="6"/>
  </r>
  <r>
    <x v="57"/>
    <d v="2007-01-01T00:00:00"/>
    <s v="58th"/>
    <x v="53"/>
    <n v="7.8"/>
    <n v="7.8"/>
    <n v="7.6"/>
    <n v="5.7"/>
    <n v="7"/>
    <n v="5.7"/>
    <n v="7.9"/>
    <n v="6.1"/>
    <n v="5.4"/>
    <n v="6.3"/>
    <n v="6.8"/>
    <n v="8.1999999999999993"/>
  </r>
  <r>
    <x v="58"/>
    <d v="2007-01-01T00:00:00"/>
    <s v="59th"/>
    <x v="54"/>
    <n v="6.2"/>
    <n v="8.3000000000000007"/>
    <n v="7"/>
    <n v="6.4"/>
    <n v="8.5"/>
    <n v="7"/>
    <n v="7.2"/>
    <n v="7.4"/>
    <n v="7"/>
    <n v="7.4"/>
    <n v="3.7"/>
    <n v="5.9"/>
  </r>
  <r>
    <x v="59"/>
    <d v="2007-01-01T00:00:00"/>
    <s v="60th"/>
    <x v="55"/>
    <n v="7.3"/>
    <n v="5.9"/>
    <n v="7.1"/>
    <n v="7"/>
    <n v="8"/>
    <n v="6.7"/>
    <n v="7.4"/>
    <n v="6.6"/>
    <n v="7.1"/>
    <n v="7"/>
    <n v="6"/>
    <n v="5.3"/>
  </r>
  <r>
    <x v="60"/>
    <d v="2007-01-01T00:00:00"/>
    <s v="61st"/>
    <x v="56"/>
    <n v="7.1"/>
    <n v="7.1"/>
    <n v="4"/>
    <n v="7.7"/>
    <n v="6"/>
    <n v="5.3"/>
    <n v="8.8000000000000007"/>
    <n v="8.1"/>
    <n v="7.5"/>
    <n v="8.6999999999999993"/>
    <n v="4"/>
    <n v="7"/>
  </r>
  <r>
    <x v="61"/>
    <d v="2007-01-01T00:00:00"/>
    <s v="62nd"/>
    <x v="57"/>
    <n v="7.2"/>
    <n v="7.5"/>
    <n v="7.3"/>
    <n v="6.3"/>
    <n v="7.4"/>
    <n v="5.3"/>
    <n v="7.8"/>
    <n v="6"/>
    <n v="6.4"/>
    <n v="6"/>
    <n v="7.5"/>
    <n v="6.5"/>
  </r>
  <r>
    <x v="62"/>
    <d v="2007-01-01T00:00:00"/>
    <s v="62nd"/>
    <x v="57"/>
    <n v="5.3"/>
    <n v="7.5"/>
    <n v="8"/>
    <n v="4"/>
    <n v="9"/>
    <n v="6.5"/>
    <n v="8.5"/>
    <n v="6.5"/>
    <n v="9"/>
    <n v="8.6999999999999993"/>
    <n v="5.0999999999999996"/>
    <n v="3.1"/>
  </r>
  <r>
    <x v="63"/>
    <d v="2007-01-01T00:00:00"/>
    <s v="62nd"/>
    <x v="57"/>
    <n v="6.2"/>
    <n v="6.7"/>
    <n v="5.5"/>
    <n v="9.1"/>
    <n v="5.5"/>
    <n v="5.4"/>
    <n v="7.5"/>
    <n v="8.9"/>
    <n v="6.7"/>
    <n v="9"/>
    <n v="4.5"/>
    <n v="6.2"/>
  </r>
  <r>
    <x v="64"/>
    <d v="2007-01-01T00:00:00"/>
    <s v="62nd"/>
    <x v="57"/>
    <n v="6.8"/>
    <n v="8.5"/>
    <n v="7.7"/>
    <n v="3.9"/>
    <n v="8.1999999999999993"/>
    <n v="6.5"/>
    <n v="7.6"/>
    <n v="6.2"/>
    <n v="8.5"/>
    <n v="7.5"/>
    <n v="5.9"/>
    <n v="3.9"/>
  </r>
  <r>
    <x v="65"/>
    <d v="2007-01-01T00:00:00"/>
    <s v="66th"/>
    <x v="58"/>
    <n v="6.1"/>
    <n v="6.4"/>
    <n v="4.8"/>
    <n v="8"/>
    <n v="6.2"/>
    <n v="8.1999999999999993"/>
    <n v="7"/>
    <n v="7.4"/>
    <n v="6.4"/>
    <n v="7.9"/>
    <n v="4.8"/>
    <n v="7.9"/>
  </r>
  <r>
    <x v="66"/>
    <d v="2007-01-01T00:00:00"/>
    <s v="66th"/>
    <x v="58"/>
    <n v="6.1"/>
    <n v="7.2"/>
    <n v="4.9000000000000004"/>
    <n v="7.3"/>
    <n v="4.9000000000000004"/>
    <n v="7"/>
    <n v="7.9"/>
    <n v="7.1"/>
    <n v="7.7"/>
    <n v="8"/>
    <n v="7"/>
    <n v="6"/>
  </r>
  <r>
    <x v="67"/>
    <d v="2007-01-01T00:00:00"/>
    <s v="66th"/>
    <x v="58"/>
    <n v="6.3"/>
    <n v="8"/>
    <n v="7.7"/>
    <n v="6.5"/>
    <n v="7.7"/>
    <n v="5.5"/>
    <n v="7.5"/>
    <n v="5"/>
    <n v="6.1"/>
    <n v="6"/>
    <n v="8"/>
    <n v="6.8"/>
  </r>
  <r>
    <x v="68"/>
    <d v="2007-01-01T00:00:00"/>
    <s v="69th"/>
    <x v="59"/>
    <n v="6.5"/>
    <n v="7.4"/>
    <n v="6.1"/>
    <n v="5.8"/>
    <n v="8.1"/>
    <n v="8.3000000000000007"/>
    <n v="6"/>
    <n v="6.9"/>
    <n v="7"/>
    <n v="6.5"/>
    <n v="6.4"/>
    <n v="5.6"/>
  </r>
  <r>
    <x v="69"/>
    <d v="2007-01-01T00:00:00"/>
    <s v="69th"/>
    <x v="59"/>
    <n v="5.5"/>
    <n v="5.2"/>
    <n v="5.2"/>
    <n v="7.9"/>
    <n v="7.4"/>
    <n v="6.7"/>
    <n v="7.6"/>
    <n v="7.9"/>
    <n v="5.8"/>
    <n v="9.1"/>
    <n v="6.2"/>
    <n v="6.1"/>
  </r>
  <r>
    <x v="70"/>
    <d v="2007-01-01T00:00:00"/>
    <s v="70th"/>
    <x v="60"/>
    <n v="7"/>
    <n v="6.9"/>
    <n v="5.5"/>
    <n v="6.9"/>
    <n v="6.1"/>
    <n v="5"/>
    <n v="7.4"/>
    <n v="7.5"/>
    <n v="6"/>
    <n v="7.9"/>
    <n v="6.5"/>
    <n v="7.6"/>
  </r>
  <r>
    <x v="71"/>
    <d v="2007-01-01T00:00:00"/>
    <s v="71st"/>
    <x v="61"/>
    <n v="6.5"/>
    <n v="7.2"/>
    <n v="6.4"/>
    <n v="7.8"/>
    <n v="8.6"/>
    <n v="7.1"/>
    <n v="6.5"/>
    <n v="7"/>
    <n v="5.4"/>
    <n v="6.7"/>
    <n v="5.0999999999999996"/>
    <n v="5.7"/>
  </r>
  <r>
    <x v="72"/>
    <d v="2007-01-01T00:00:00"/>
    <s v="72nd"/>
    <x v="62"/>
    <n v="6.6"/>
    <n v="7.6"/>
    <n v="6.7"/>
    <n v="5.3"/>
    <n v="8"/>
    <n v="7.1"/>
    <n v="7.5"/>
    <n v="6.8"/>
    <n v="6.6"/>
    <n v="6.2"/>
    <n v="6"/>
    <n v="5.5"/>
  </r>
  <r>
    <x v="73"/>
    <d v="2007-01-01T00:00:00"/>
    <s v="73rd"/>
    <x v="63"/>
    <n v="6.9"/>
    <n v="7.5"/>
    <n v="6.8"/>
    <n v="4"/>
    <n v="8.1999999999999993"/>
    <n v="6.9"/>
    <n v="7.5"/>
    <n v="6.3"/>
    <n v="7.9"/>
    <n v="6.9"/>
    <n v="5.2"/>
    <n v="5.7"/>
  </r>
  <r>
    <x v="74"/>
    <d v="2007-01-01T00:00:00"/>
    <s v="74th"/>
    <x v="64"/>
    <n v="5.3"/>
    <n v="7.2"/>
    <n v="9"/>
    <n v="3.7"/>
    <n v="6.9"/>
    <n v="3.5"/>
    <n v="7.3"/>
    <n v="7"/>
    <n v="7.4"/>
    <n v="7"/>
    <n v="7.9"/>
    <n v="7.4"/>
  </r>
  <r>
    <x v="75"/>
    <d v="2007-01-01T00:00:00"/>
    <s v="75th"/>
    <x v="65"/>
    <n v="5.7"/>
    <n v="5.5"/>
    <n v="6.2"/>
    <n v="7.4"/>
    <n v="6.9"/>
    <n v="6"/>
    <n v="6.3"/>
    <n v="7.8"/>
    <n v="6"/>
    <n v="7.4"/>
    <n v="7.1"/>
    <n v="7"/>
  </r>
  <r>
    <x v="76"/>
    <d v="2007-01-01T00:00:00"/>
    <s v="76th"/>
    <x v="66"/>
    <n v="7.7"/>
    <n v="7.8"/>
    <n v="5.5"/>
    <n v="6.3"/>
    <n v="7.2"/>
    <n v="6"/>
    <n v="7.6"/>
    <n v="3.8"/>
    <n v="7.8"/>
    <n v="6.5"/>
    <n v="4.7"/>
    <n v="7.7"/>
  </r>
  <r>
    <x v="77"/>
    <d v="2007-01-01T00:00:00"/>
    <s v="76th"/>
    <x v="66"/>
    <n v="5.8"/>
    <n v="5.9"/>
    <n v="5.0999999999999996"/>
    <n v="8.5"/>
    <n v="6.1"/>
    <n v="7.4"/>
    <n v="7.3"/>
    <n v="8.1"/>
    <n v="5.3"/>
    <n v="7.9"/>
    <n v="4.8"/>
    <n v="6.4"/>
  </r>
  <r>
    <x v="78"/>
    <d v="2007-01-01T00:00:00"/>
    <s v="78th"/>
    <x v="67"/>
    <n v="6.7"/>
    <n v="6.5"/>
    <n v="5.3"/>
    <n v="7.6"/>
    <n v="6.1"/>
    <n v="5.7"/>
    <n v="7.9"/>
    <n v="8.6999999999999993"/>
    <n v="6.6"/>
    <n v="6.2"/>
    <n v="3.6"/>
    <n v="6.9"/>
  </r>
  <r>
    <x v="79"/>
    <d v="2007-01-01T00:00:00"/>
    <s v="78th"/>
    <x v="67"/>
    <n v="7.4"/>
    <n v="7"/>
    <n v="5.3"/>
    <n v="6.2"/>
    <n v="6.2"/>
    <n v="7"/>
    <n v="7"/>
    <n v="6.5"/>
    <n v="6.9"/>
    <n v="6.5"/>
    <n v="5.9"/>
    <n v="5.9"/>
  </r>
  <r>
    <x v="80"/>
    <d v="2007-01-01T00:00:00"/>
    <s v="80th"/>
    <x v="68"/>
    <n v="5.9"/>
    <n v="5.6"/>
    <n v="4.7"/>
    <n v="7.5"/>
    <n v="7.2"/>
    <n v="8"/>
    <n v="7.4"/>
    <n v="8"/>
    <n v="7"/>
    <n v="7.5"/>
    <n v="2.2000000000000002"/>
    <n v="5.9"/>
  </r>
  <r>
    <x v="81"/>
    <d v="2007-01-01T00:00:00"/>
    <s v="81st"/>
    <x v="69"/>
    <n v="6.4"/>
    <n v="6.5"/>
    <n v="6.5"/>
    <n v="6.6"/>
    <n v="7.7"/>
    <n v="5"/>
    <n v="6.2"/>
    <n v="5.6"/>
    <n v="6.2"/>
    <n v="6.2"/>
    <n v="6.8"/>
    <n v="6.9"/>
  </r>
  <r>
    <x v="82"/>
    <d v="2007-01-01T00:00:00"/>
    <s v="82nd"/>
    <x v="70"/>
    <n v="6.1"/>
    <n v="6.7"/>
    <n v="5.0999999999999996"/>
    <n v="7.5"/>
    <n v="7"/>
    <n v="5"/>
    <n v="5.7"/>
    <n v="8.6999999999999993"/>
    <n v="5.7"/>
    <n v="8.5"/>
    <n v="3"/>
    <n v="7.5"/>
  </r>
  <r>
    <x v="83"/>
    <d v="2007-01-01T00:00:00"/>
    <s v="82nd"/>
    <x v="70"/>
    <n v="7.3"/>
    <n v="7.6"/>
    <n v="7.7"/>
    <n v="2.2999999999999998"/>
    <n v="6.5"/>
    <n v="3.6"/>
    <n v="8.8000000000000007"/>
    <n v="4.3"/>
    <n v="8.8000000000000007"/>
    <n v="5.9"/>
    <n v="7.2"/>
    <n v="6.5"/>
  </r>
  <r>
    <x v="84"/>
    <d v="2007-01-01T00:00:00"/>
    <s v="84th"/>
    <x v="71"/>
    <n v="7.7"/>
    <n v="7"/>
    <n v="6.9"/>
    <n v="5.6"/>
    <n v="8.1"/>
    <n v="7.5"/>
    <n v="6.6"/>
    <n v="6.2"/>
    <n v="5.2"/>
    <n v="6.6"/>
    <n v="4"/>
    <n v="5"/>
  </r>
  <r>
    <x v="85"/>
    <d v="2007-01-01T00:00:00"/>
    <s v="85th"/>
    <x v="72"/>
    <n v="5.8"/>
    <n v="5.9"/>
    <n v="4.2"/>
    <n v="8"/>
    <n v="7"/>
    <n v="6"/>
    <n v="7.9"/>
    <n v="6.6"/>
    <n v="6.8"/>
    <n v="6.4"/>
    <n v="5.2"/>
    <n v="6.2"/>
  </r>
  <r>
    <x v="86"/>
    <d v="2007-01-01T00:00:00"/>
    <s v="85th"/>
    <x v="72"/>
    <n v="5.2"/>
    <n v="5.4"/>
    <n v="6.8"/>
    <n v="6.6"/>
    <n v="7.3"/>
    <n v="6.2"/>
    <n v="7.8"/>
    <n v="6"/>
    <n v="6.6"/>
    <n v="6.6"/>
    <n v="7.5"/>
    <n v="4"/>
  </r>
  <r>
    <x v="87"/>
    <d v="2007-01-01T00:00:00"/>
    <s v="85th"/>
    <x v="72"/>
    <n v="7.2"/>
    <n v="8"/>
    <n v="7.8"/>
    <n v="3"/>
    <n v="7.5"/>
    <n v="4.4000000000000004"/>
    <n v="8"/>
    <n v="5.5"/>
    <n v="6.3"/>
    <n v="7"/>
    <n v="5.8"/>
    <n v="5.5"/>
  </r>
  <r>
    <x v="88"/>
    <d v="2007-01-01T00:00:00"/>
    <s v="88th"/>
    <x v="73"/>
    <n v="6.4"/>
    <n v="5.9"/>
    <n v="7"/>
    <n v="3.5"/>
    <n v="7.3"/>
    <n v="5.6"/>
    <n v="7.3"/>
    <n v="7"/>
    <n v="7.4"/>
    <n v="6.1"/>
    <n v="6.7"/>
    <n v="5.7"/>
  </r>
  <r>
    <x v="89"/>
    <d v="2007-01-01T00:00:00"/>
    <s v="89th"/>
    <x v="74"/>
    <n v="7"/>
    <n v="8.1999999999999993"/>
    <n v="7.5"/>
    <n v="5.9"/>
    <n v="7.5"/>
    <n v="5.4"/>
    <n v="9"/>
    <n v="4.0999999999999996"/>
    <n v="5.9"/>
    <n v="5.9"/>
    <n v="4"/>
    <n v="5.3"/>
  </r>
  <r>
    <x v="90"/>
    <d v="2007-01-01T00:00:00"/>
    <s v="90th"/>
    <x v="75"/>
    <n v="4.8"/>
    <n v="3.7"/>
    <n v="6.1"/>
    <n v="8.6999999999999993"/>
    <n v="6.6"/>
    <n v="7.9"/>
    <n v="4.7"/>
    <n v="8.6"/>
    <n v="4.5999999999999996"/>
    <n v="8.5"/>
    <n v="4.4000000000000004"/>
    <n v="6.9"/>
  </r>
  <r>
    <x v="91"/>
    <d v="2007-01-01T00:00:00"/>
    <s v="91st"/>
    <x v="76"/>
    <n v="5.8"/>
    <n v="3.9"/>
    <n v="6"/>
    <n v="5.4"/>
    <n v="7.3"/>
    <n v="7"/>
    <n v="7"/>
    <n v="6.9"/>
    <n v="6.9"/>
    <n v="7.6"/>
    <n v="5.6"/>
    <n v="5.5"/>
  </r>
  <r>
    <x v="92"/>
    <d v="2007-01-01T00:00:00"/>
    <s v="91st"/>
    <x v="76"/>
    <n v="6.7"/>
    <n v="7.1"/>
    <n v="7.4"/>
    <n v="4.7"/>
    <n v="8.6999999999999993"/>
    <n v="5"/>
    <n v="6.1"/>
    <n v="5.4"/>
    <n v="5.0999999999999996"/>
    <n v="6.9"/>
    <n v="5.8"/>
    <n v="6"/>
  </r>
  <r>
    <x v="93"/>
    <d v="2007-01-01T00:00:00"/>
    <s v="93rd"/>
    <x v="77"/>
    <n v="5.9"/>
    <n v="6.3"/>
    <n v="5.3"/>
    <n v="7.6"/>
    <n v="8.6999999999999993"/>
    <n v="6"/>
    <n v="7.4"/>
    <n v="6.6"/>
    <n v="5.8"/>
    <n v="7.8"/>
    <n v="2"/>
    <n v="5.4"/>
  </r>
  <r>
    <x v="94"/>
    <d v="2007-01-01T00:00:00"/>
    <s v="94th"/>
    <x v="78"/>
    <n v="6.1"/>
    <n v="6.4"/>
    <n v="7.1"/>
    <n v="5.9"/>
    <n v="7.4"/>
    <n v="7"/>
    <n v="7.3"/>
    <n v="5.0999999999999996"/>
    <n v="5.3"/>
    <n v="5.4"/>
    <n v="4.7"/>
    <n v="6.4"/>
  </r>
  <r>
    <x v="95"/>
    <d v="2007-01-01T00:00:00"/>
    <s v="95th"/>
    <x v="79"/>
    <n v="6.2"/>
    <n v="5.0999999999999996"/>
    <n v="6.1"/>
    <n v="6.9"/>
    <n v="8.3000000000000007"/>
    <n v="6.7"/>
    <n v="6.4"/>
    <n v="4.9000000000000004"/>
    <n v="5.7"/>
    <n v="7.1"/>
    <n v="4.2"/>
    <n v="6.3"/>
  </r>
  <r>
    <x v="96"/>
    <d v="2007-01-01T00:00:00"/>
    <s v="96th"/>
    <x v="80"/>
    <n v="6.7"/>
    <n v="5.4"/>
    <n v="5"/>
    <n v="6.3"/>
    <n v="7.2"/>
    <n v="7.9"/>
    <n v="6.7"/>
    <n v="4.7"/>
    <n v="4.9000000000000004"/>
    <n v="6.8"/>
    <n v="3.8"/>
    <n v="8.4"/>
  </r>
  <r>
    <x v="97"/>
    <d v="2007-01-01T00:00:00"/>
    <s v="97th"/>
    <x v="81"/>
    <n v="6"/>
    <n v="5.4"/>
    <n v="5"/>
    <n v="6.5"/>
    <n v="7.1"/>
    <n v="8.1"/>
    <n v="6.9"/>
    <n v="7.1"/>
    <n v="2.5"/>
    <n v="7.7"/>
    <n v="3.2"/>
    <n v="8"/>
  </r>
  <r>
    <x v="98"/>
    <d v="2007-01-01T00:00:00"/>
    <s v="98th"/>
    <x v="82"/>
    <n v="5.3"/>
    <n v="7.2"/>
    <n v="3"/>
    <n v="4.9000000000000004"/>
    <n v="7.8"/>
    <n v="6"/>
    <n v="7.3"/>
    <n v="7"/>
    <n v="6.7"/>
    <n v="6.6"/>
    <n v="5.7"/>
    <n v="5.8"/>
  </r>
  <r>
    <x v="99"/>
    <d v="2007-01-01T00:00:00"/>
    <s v="98th"/>
    <x v="82"/>
    <n v="5.9"/>
    <n v="4.9000000000000004"/>
    <n v="5.4"/>
    <n v="6.8"/>
    <n v="8.1"/>
    <n v="7.9"/>
    <n v="6.4"/>
    <n v="5.7"/>
    <n v="5.6"/>
    <n v="6.9"/>
    <n v="4.0999999999999996"/>
    <n v="5.6"/>
  </r>
  <r>
    <x v="100"/>
    <d v="2007-01-01T00:00:00"/>
    <s v="100th"/>
    <x v="83"/>
    <n v="4.3"/>
    <n v="7.5"/>
    <n v="6.2"/>
    <n v="6.7"/>
    <n v="7.4"/>
    <n v="6"/>
    <n v="8.1"/>
    <n v="6.5"/>
    <n v="7.9"/>
    <n v="6.5"/>
    <n v="1.6"/>
    <n v="4.2"/>
  </r>
  <r>
    <x v="101"/>
    <d v="2007-01-01T00:00:00"/>
    <s v="101st"/>
    <x v="84"/>
    <n v="6.1"/>
    <n v="4.8"/>
    <n v="6.1"/>
    <n v="6.2"/>
    <n v="8.4"/>
    <n v="7"/>
    <n v="6.1"/>
    <n v="5.7"/>
    <n v="5.0999999999999996"/>
    <n v="6.9"/>
    <n v="4"/>
    <n v="6.2"/>
  </r>
  <r>
    <x v="102"/>
    <d v="2007-01-01T00:00:00"/>
    <s v="102nd"/>
    <x v="85"/>
    <n v="6.7"/>
    <n v="7.7"/>
    <n v="5.2"/>
    <n v="6.6"/>
    <n v="6.2"/>
    <n v="4"/>
    <n v="7.5"/>
    <n v="6.1"/>
    <n v="7"/>
    <n v="5.7"/>
    <n v="3"/>
    <n v="6.6"/>
  </r>
  <r>
    <x v="103"/>
    <d v="2007-01-01T00:00:00"/>
    <s v="103rd"/>
    <x v="86"/>
    <n v="5.2"/>
    <n v="3.8"/>
    <n v="4"/>
    <n v="7.1"/>
    <n v="7.4"/>
    <n v="6.9"/>
    <n v="6.4"/>
    <n v="8.1"/>
    <n v="4.8"/>
    <n v="6.5"/>
    <n v="5.2"/>
    <n v="6.6"/>
  </r>
  <r>
    <x v="104"/>
    <d v="2007-01-01T00:00:00"/>
    <s v="104th"/>
    <x v="87"/>
    <n v="5.9"/>
    <n v="5.7"/>
    <n v="5"/>
    <n v="6.5"/>
    <n v="7.1"/>
    <n v="7.9"/>
    <n v="6.5"/>
    <n v="4.0999999999999996"/>
    <n v="5.0999999999999996"/>
    <n v="5.9"/>
    <n v="3.6"/>
    <n v="8.3000000000000007"/>
  </r>
  <r>
    <x v="105"/>
    <d v="2007-01-01T00:00:00"/>
    <s v="105th"/>
    <x v="88"/>
    <n v="3"/>
    <n v="7.9"/>
    <n v="7"/>
    <n v="5"/>
    <n v="7"/>
    <n v="7.5"/>
    <n v="7.5"/>
    <n v="4.5"/>
    <n v="5.9"/>
    <n v="6.5"/>
    <n v="3.6"/>
    <n v="6"/>
  </r>
  <r>
    <x v="106"/>
    <d v="2007-01-01T00:00:00"/>
    <s v="106th"/>
    <x v="89"/>
    <n v="5.5"/>
    <n v="3.2"/>
    <n v="5.4"/>
    <n v="5.9"/>
    <n v="8.1999999999999993"/>
    <n v="7.9"/>
    <n v="4.4000000000000004"/>
    <n v="7.5"/>
    <n v="5.7"/>
    <n v="6.5"/>
    <n v="5.0999999999999996"/>
    <n v="6"/>
  </r>
  <r>
    <x v="107"/>
    <d v="2007-01-01T00:00:00"/>
    <s v="106th"/>
    <x v="89"/>
    <n v="6.2"/>
    <n v="6.7"/>
    <n v="5.5"/>
    <n v="4"/>
    <n v="6.9"/>
    <n v="4.7"/>
    <n v="7.9"/>
    <n v="4.0999999999999996"/>
    <n v="6.7"/>
    <n v="6.9"/>
    <n v="5"/>
    <n v="6.7"/>
  </r>
  <r>
    <x v="108"/>
    <d v="2007-01-01T00:00:00"/>
    <s v="108th"/>
    <x v="90"/>
    <n v="6.9"/>
    <n v="7.4"/>
    <n v="7.4"/>
    <n v="3.2"/>
    <n v="7.9"/>
    <n v="4.2"/>
    <n v="7.7"/>
    <n v="3.3"/>
    <n v="6.6"/>
    <n v="6.3"/>
    <n v="5.6"/>
    <n v="4.7"/>
  </r>
  <r>
    <x v="109"/>
    <d v="2007-01-01T00:00:00"/>
    <s v="109th"/>
    <x v="91"/>
    <n v="5"/>
    <n v="5.6"/>
    <n v="7"/>
    <n v="4.5999999999999996"/>
    <n v="8.9"/>
    <n v="7.1"/>
    <n v="4.8"/>
    <n v="6.7"/>
    <n v="5.4"/>
    <n v="8.3000000000000007"/>
    <n v="3.2"/>
    <n v="4.2"/>
  </r>
  <r>
    <x v="110"/>
    <d v="2007-01-01T00:00:00"/>
    <s v="110th"/>
    <x v="92"/>
    <n v="5.5"/>
    <n v="5.4"/>
    <n v="5.4"/>
    <n v="6.8"/>
    <n v="6.1"/>
    <n v="7.5"/>
    <n v="7.4"/>
    <n v="6.2"/>
    <n v="5.4"/>
    <n v="6.5"/>
    <n v="2.7"/>
    <n v="5.6"/>
  </r>
  <r>
    <x v="111"/>
    <d v="2007-01-01T00:00:00"/>
    <s v="111th"/>
    <x v="93"/>
    <n v="4.5"/>
    <n v="5.8"/>
    <n v="5"/>
    <n v="5"/>
    <n v="6"/>
    <n v="6.9"/>
    <n v="6.5"/>
    <n v="6.2"/>
    <n v="5.5"/>
    <n v="5.8"/>
    <n v="7.6"/>
    <n v="5.5"/>
  </r>
  <r>
    <x v="112"/>
    <d v="2007-01-01T00:00:00"/>
    <s v="112th"/>
    <x v="94"/>
    <n v="4.2"/>
    <n v="8.4"/>
    <n v="8.3000000000000007"/>
    <n v="4.8"/>
    <n v="7.5"/>
    <n v="5.7"/>
    <n v="5.5"/>
    <n v="3.8"/>
    <n v="3.5"/>
    <n v="5.0999999999999996"/>
    <n v="4.2"/>
    <n v="9.1999999999999993"/>
  </r>
  <r>
    <x v="113"/>
    <d v="2007-01-01T00:00:00"/>
    <s v="113th"/>
    <x v="95"/>
    <n v="5.7"/>
    <n v="5"/>
    <n v="5.2"/>
    <n v="6"/>
    <n v="7.6"/>
    <n v="6.9"/>
    <n v="6.5"/>
    <n v="5.7"/>
    <n v="3.8"/>
    <n v="6.6"/>
    <n v="5.2"/>
    <n v="5.6"/>
  </r>
  <r>
    <x v="114"/>
    <d v="2007-01-01T00:00:00"/>
    <s v="114th"/>
    <x v="96"/>
    <n v="5.3"/>
    <n v="8"/>
    <n v="5.6"/>
    <n v="5.3"/>
    <n v="7.3"/>
    <n v="4"/>
    <n v="7.4"/>
    <n v="4.5"/>
    <n v="8.1"/>
    <n v="6.2"/>
    <n v="2.6"/>
    <n v="5"/>
  </r>
  <r>
    <x v="115"/>
    <d v="2007-01-01T00:00:00"/>
    <s v="115th"/>
    <x v="97"/>
    <n v="5.7"/>
    <n v="5.7"/>
    <n v="5.2"/>
    <n v="3.8"/>
    <n v="8.1"/>
    <n v="6.4"/>
    <n v="6.4"/>
    <n v="5.8"/>
    <n v="5.4"/>
    <n v="5.9"/>
    <n v="3.8"/>
    <n v="5.4"/>
  </r>
  <r>
    <x v="116"/>
    <d v="2007-01-01T00:00:00"/>
    <s v="116th"/>
    <x v="98"/>
    <n v="6.9"/>
    <n v="4.5"/>
    <n v="6.1"/>
    <n v="3.2"/>
    <n v="8.8000000000000007"/>
    <n v="5"/>
    <n v="6.2"/>
    <n v="6.3"/>
    <n v="5.3"/>
    <n v="6.6"/>
    <n v="3.4"/>
    <n v="4.5999999999999996"/>
  </r>
  <r>
    <x v="117"/>
    <d v="2007-01-01T00:00:00"/>
    <s v="116th"/>
    <x v="98"/>
    <n v="5.2"/>
    <n v="3.8"/>
    <n v="5.2"/>
    <n v="5.7"/>
    <n v="6.9"/>
    <n v="5.0999999999999996"/>
    <n v="5.7"/>
    <n v="6.7"/>
    <n v="5.6"/>
    <n v="7"/>
    <n v="4.5"/>
    <n v="5.5"/>
  </r>
  <r>
    <x v="118"/>
    <d v="2007-01-01T00:00:00"/>
    <s v="118th"/>
    <x v="99"/>
    <n v="3.9"/>
    <n v="2.8"/>
    <n v="3.4"/>
    <n v="5.6"/>
    <n v="7"/>
    <n v="6"/>
    <n v="5.4"/>
    <n v="6.5"/>
    <n v="4.8"/>
    <n v="9.1999999999999993"/>
    <n v="5.8"/>
    <n v="6"/>
  </r>
  <r>
    <x v="119"/>
    <d v="2007-01-01T00:00:00"/>
    <s v="119th"/>
    <x v="100"/>
    <n v="6.3"/>
    <n v="5.3"/>
    <n v="5.5"/>
    <n v="4.5999999999999996"/>
    <n v="6.6"/>
    <n v="3.6"/>
    <n v="5.9"/>
    <n v="5.4"/>
    <n v="6.5"/>
    <n v="6.3"/>
    <n v="4.0999999999999996"/>
    <n v="5.8"/>
  </r>
  <r>
    <x v="120"/>
    <d v="2007-01-01T00:00:00"/>
    <s v="120th"/>
    <x v="101"/>
    <n v="5.2"/>
    <n v="4.5999999999999996"/>
    <n v="5.2"/>
    <n v="4.8"/>
    <n v="7.1"/>
    <n v="7.9"/>
    <n v="6.3"/>
    <n v="4.9000000000000004"/>
    <n v="5.5"/>
    <n v="5.2"/>
    <n v="3.6"/>
    <n v="5.4"/>
  </r>
  <r>
    <x v="121"/>
    <d v="2007-01-01T00:00:00"/>
    <s v="121st"/>
    <x v="102"/>
    <n v="5.9"/>
    <n v="6.2"/>
    <n v="5.0999999999999996"/>
    <n v="4.3"/>
    <n v="7.4"/>
    <n v="5.0999999999999996"/>
    <n v="6.4"/>
    <n v="5.9"/>
    <n v="7.3"/>
    <n v="5.6"/>
    <n v="3.4"/>
    <n v="3"/>
  </r>
  <r>
    <x v="122"/>
    <d v="2007-01-01T00:00:00"/>
    <s v="122nd"/>
    <x v="103"/>
    <n v="5.6"/>
    <n v="3.7"/>
    <n v="4.3"/>
    <n v="5.4"/>
    <n v="6.7"/>
    <n v="6.7"/>
    <n v="7"/>
    <n v="5.8"/>
    <n v="5.4"/>
    <n v="6.1"/>
    <n v="2.4"/>
    <n v="6"/>
  </r>
  <r>
    <x v="123"/>
    <d v="2007-01-01T00:00:00"/>
    <s v="123rd"/>
    <x v="104"/>
    <n v="5.3"/>
    <n v="7.6"/>
    <n v="4.5"/>
    <n v="3.1"/>
    <n v="6.1"/>
    <n v="4.0999999999999996"/>
    <n v="6.9"/>
    <n v="3.3"/>
    <n v="6.5"/>
    <n v="5.9"/>
    <n v="4.8"/>
    <n v="4"/>
  </r>
  <r>
    <x v="124"/>
    <d v="2007-01-01T00:00:00"/>
    <s v="124th"/>
    <x v="105"/>
    <n v="2.4"/>
    <n v="3.5"/>
    <n v="5.0999999999999996"/>
    <n v="4"/>
    <n v="6.8"/>
    <n v="8"/>
    <n v="5.5"/>
    <n v="6.9"/>
    <n v="4.5"/>
    <n v="6"/>
    <n v="4.5"/>
    <n v="4.7"/>
  </r>
  <r>
    <x v="125"/>
    <d v="2007-01-01T00:00:00"/>
    <s v="125th"/>
    <x v="106"/>
    <n v="3.4"/>
    <n v="4.5"/>
    <n v="5.2"/>
    <n v="5.7"/>
    <n v="6.1"/>
    <n v="5.2"/>
    <n v="6.1"/>
    <n v="5.2"/>
    <n v="4.8"/>
    <n v="5.5"/>
    <n v="3.8"/>
    <n v="5.4"/>
  </r>
  <r>
    <x v="126"/>
    <d v="2007-01-01T00:00:00"/>
    <s v="126th"/>
    <x v="107"/>
    <n v="3.9"/>
    <n v="3.9"/>
    <n v="6"/>
    <n v="5.7"/>
    <n v="5.7"/>
    <n v="5"/>
    <n v="4.2"/>
    <n v="4.0999999999999996"/>
    <n v="4.5"/>
    <n v="5.3"/>
    <n v="6.5"/>
    <n v="5.7"/>
  </r>
  <r>
    <x v="127"/>
    <d v="2007-01-01T00:00:00"/>
    <s v="127th"/>
    <x v="108"/>
    <n v="5.4"/>
    <n v="3.9"/>
    <n v="4.2"/>
    <n v="4.3"/>
    <n v="6.2"/>
    <n v="5.9"/>
    <n v="5.7"/>
    <n v="5"/>
    <n v="4.7"/>
    <n v="5.4"/>
    <n v="4.0999999999999996"/>
    <n v="5.5"/>
  </r>
  <r>
    <x v="128"/>
    <d v="2007-01-01T00:00:00"/>
    <s v="128th"/>
    <x v="109"/>
    <n v="5.4"/>
    <n v="5.3"/>
    <n v="5.3"/>
    <n v="3.2"/>
    <n v="7.2"/>
    <n v="5.4"/>
    <n v="6.4"/>
    <n v="4.0999999999999996"/>
    <n v="3"/>
    <n v="6"/>
    <n v="3.6"/>
    <n v="5.2"/>
  </r>
  <r>
    <x v="129"/>
    <d v="2007-01-01T00:00:00"/>
    <s v="129th"/>
    <x v="110"/>
    <n v="5.3"/>
    <n v="4.8"/>
    <n v="5.8"/>
    <n v="5"/>
    <n v="7.6"/>
    <n v="6.9"/>
    <n v="6.1"/>
    <n v="2.6"/>
    <n v="3"/>
    <n v="4.0999999999999996"/>
    <n v="3.6"/>
    <n v="5.0999999999999996"/>
  </r>
  <r>
    <x v="130"/>
    <d v="2007-01-01T00:00:00"/>
    <s v="130th"/>
    <x v="111"/>
    <n v="5"/>
    <n v="2.9"/>
    <n v="4.4000000000000004"/>
    <n v="5.8"/>
    <n v="7.5"/>
    <n v="5"/>
    <n v="4.8"/>
    <n v="5.6"/>
    <n v="4.7"/>
    <n v="6.6"/>
    <n v="3.1"/>
    <n v="4"/>
  </r>
  <r>
    <x v="131"/>
    <d v="2007-01-01T00:00:00"/>
    <s v="131st"/>
    <x v="112"/>
    <n v="4.8"/>
    <n v="4.9000000000000004"/>
    <n v="4.0999999999999996"/>
    <n v="5.2"/>
    <n v="5.4"/>
    <n v="2.1"/>
    <n v="6"/>
    <n v="5.3"/>
    <n v="6.7"/>
    <n v="6"/>
    <n v="1"/>
    <n v="6.9"/>
  </r>
  <r>
    <x v="132"/>
    <d v="2007-01-01T00:00:00"/>
    <s v="132nd"/>
    <x v="113"/>
    <n v="3.2"/>
    <n v="3.9"/>
    <n v="4.7"/>
    <n v="2.8"/>
    <n v="8.5"/>
    <n v="4"/>
    <n v="4.3"/>
    <n v="5.7"/>
    <n v="4.0999999999999996"/>
    <n v="8.1999999999999993"/>
    <n v="6"/>
    <n v="2"/>
  </r>
  <r>
    <x v="133"/>
    <d v="2007-01-01T00:00:00"/>
    <s v="133rd"/>
    <x v="114"/>
    <n v="3.4"/>
    <n v="6"/>
    <n v="6"/>
    <n v="3.5"/>
    <n v="5"/>
    <n v="3.7"/>
    <n v="6.8"/>
    <n v="3.7"/>
    <n v="4.7"/>
    <n v="5.3"/>
    <n v="3.6"/>
    <n v="5.3"/>
  </r>
  <r>
    <x v="134"/>
    <d v="2007-01-01T00:00:00"/>
    <s v="134th"/>
    <x v="115"/>
    <n v="2.2000000000000002"/>
    <n v="4.4000000000000004"/>
    <n v="4.5999999999999996"/>
    <n v="5.8"/>
    <n v="7"/>
    <n v="5"/>
    <n v="4.7"/>
    <n v="4"/>
    <n v="3.8"/>
    <n v="5.2"/>
    <n v="5.7"/>
    <n v="4.3"/>
  </r>
  <r>
    <x v="135"/>
    <d v="2007-01-01T00:00:00"/>
    <s v="135th"/>
    <x v="116"/>
    <n v="4.8"/>
    <n v="6"/>
    <n v="5.8"/>
    <n v="4"/>
    <n v="4.3"/>
    <n v="2.5"/>
    <n v="4.5"/>
    <n v="3.6"/>
    <n v="5.6"/>
    <n v="5.4"/>
    <n v="4.0999999999999996"/>
    <n v="5"/>
  </r>
  <r>
    <x v="136"/>
    <d v="2007-01-01T00:00:00"/>
    <s v="136th"/>
    <x v="117"/>
    <n v="2.5"/>
    <n v="4.7"/>
    <n v="5.6"/>
    <n v="4.9000000000000004"/>
    <n v="4.8"/>
    <n v="3.6"/>
    <n v="7"/>
    <n v="2.6"/>
    <n v="4.7"/>
    <n v="5"/>
    <n v="3.6"/>
    <n v="4.5999999999999996"/>
  </r>
  <r>
    <x v="137"/>
    <d v="2007-01-01T00:00:00"/>
    <s v="137th"/>
    <x v="118"/>
    <n v="2.1"/>
    <n v="3.6"/>
    <n v="4"/>
    <n v="2.6"/>
    <n v="5.2"/>
    <n v="3.7"/>
    <n v="7"/>
    <n v="4.0999999999999996"/>
    <n v="6.1"/>
    <n v="5.6"/>
    <n v="3.6"/>
    <n v="4"/>
  </r>
  <r>
    <x v="138"/>
    <d v="2007-01-01T00:00:00"/>
    <s v="138th"/>
    <x v="119"/>
    <n v="2.1"/>
    <n v="5.5"/>
    <n v="3"/>
    <n v="4.0999999999999996"/>
    <n v="6.3"/>
    <n v="5"/>
    <n v="6"/>
    <n v="3.8"/>
    <n v="4"/>
    <n v="3.7"/>
    <n v="3.6"/>
    <n v="4.0999999999999996"/>
  </r>
  <r>
    <x v="139"/>
    <d v="2007-01-01T00:00:00"/>
    <s v="139th"/>
    <x v="120"/>
    <n v="2"/>
    <n v="3.3"/>
    <n v="4"/>
    <n v="4.8"/>
    <n v="6.6"/>
    <n v="5"/>
    <n v="3.9"/>
    <n v="2.9"/>
    <n v="3.5"/>
    <n v="5.6"/>
    <n v="4.4000000000000004"/>
    <n v="4.5"/>
  </r>
  <r>
    <x v="140"/>
    <d v="2007-01-01T00:00:00"/>
    <s v="140th"/>
    <x v="120"/>
    <n v="2.1"/>
    <n v="5.9"/>
    <n v="4.5"/>
    <n v="3.7"/>
    <n v="4.9000000000000004"/>
    <n v="4"/>
    <n v="5"/>
    <n v="3.8"/>
    <n v="3.7"/>
    <n v="4.8"/>
    <n v="4.8"/>
    <n v="3.3"/>
  </r>
  <r>
    <x v="141"/>
    <d v="2007-01-01T00:00:00"/>
    <s v="141st"/>
    <x v="121"/>
    <n v="2"/>
    <n v="4.2"/>
    <n v="4.4000000000000004"/>
    <n v="4.5"/>
    <n v="6.5"/>
    <n v="5.5"/>
    <n v="4.2"/>
    <n v="4.0999999999999996"/>
    <n v="3.9"/>
    <n v="4.3"/>
    <n v="1.8"/>
    <n v="3.9"/>
  </r>
  <r>
    <x v="142"/>
    <d v="2007-01-01T00:00:00"/>
    <s v="142nd"/>
    <x v="122"/>
    <n v="2"/>
    <n v="3"/>
    <n v="3.5"/>
    <n v="4.5"/>
    <n v="6.2"/>
    <n v="5.4"/>
    <n v="4.2"/>
    <n v="3.7"/>
    <n v="3.7"/>
    <n v="5.4"/>
    <n v="3.4"/>
    <n v="4"/>
  </r>
  <r>
    <x v="143"/>
    <d v="2007-01-01T00:00:00"/>
    <s v="143rd"/>
    <x v="123"/>
    <n v="4.5"/>
    <n v="1.6"/>
    <n v="3.9"/>
    <n v="3.5"/>
    <n v="4.5"/>
    <n v="4.8"/>
    <n v="4.5"/>
    <n v="3.3"/>
    <n v="3.5"/>
    <n v="3.8"/>
    <n v="6.1"/>
    <n v="4.5"/>
  </r>
  <r>
    <x v="144"/>
    <d v="2007-01-01T00:00:00"/>
    <s v="144th"/>
    <x v="124"/>
    <n v="2"/>
    <n v="3"/>
    <n v="3.2"/>
    <n v="4.3"/>
    <n v="4.8"/>
    <n v="6.5"/>
    <n v="4.2"/>
    <n v="4.2"/>
    <n v="3.5"/>
    <n v="4.9000000000000004"/>
    <n v="3"/>
    <n v="4"/>
  </r>
  <r>
    <x v="145"/>
    <d v="2007-01-01T00:00:00"/>
    <s v="145th"/>
    <x v="125"/>
    <n v="5.3"/>
    <n v="7.1"/>
    <n v="3"/>
    <n v="3.7"/>
    <n v="2"/>
    <n v="1.1000000000000001"/>
    <n v="6.3"/>
    <n v="4.2"/>
    <n v="6.6"/>
    <n v="3.1"/>
    <n v="1.1000000000000001"/>
    <n v="2"/>
  </r>
  <r>
    <x v="146"/>
    <d v="2007-01-01T00:00:00"/>
    <s v="146th"/>
    <x v="126"/>
    <n v="3.1"/>
    <n v="1.6"/>
    <n v="3.5"/>
    <n v="3.5"/>
    <n v="5"/>
    <n v="5.4"/>
    <n v="4"/>
    <n v="3.1"/>
    <n v="3.9"/>
    <n v="4.7"/>
    <n v="2"/>
    <n v="3.7"/>
  </r>
  <r>
    <x v="147"/>
    <d v="2007-01-01T00:00:00"/>
    <s v="147th"/>
    <x v="127"/>
    <n v="3.5"/>
    <n v="3"/>
    <n v="3.5"/>
    <n v="3.8"/>
    <n v="5.9"/>
    <n v="2.1"/>
    <n v="5.0999999999999996"/>
    <n v="4.4000000000000004"/>
    <n v="3.9"/>
    <n v="3.6"/>
    <n v="1.1000000000000001"/>
    <n v="2.8"/>
  </r>
  <r>
    <x v="148"/>
    <d v="2007-01-01T00:00:00"/>
    <s v="148th"/>
    <x v="128"/>
    <n v="2"/>
    <n v="3.5"/>
    <n v="3.2"/>
    <n v="2.8"/>
    <n v="3.9"/>
    <n v="5"/>
    <n v="3.7"/>
    <n v="3.8"/>
    <n v="3.5"/>
    <n v="4"/>
    <n v="3.3"/>
    <n v="3.4"/>
  </r>
  <r>
    <x v="149"/>
    <d v="2007-01-01T00:00:00"/>
    <s v="149th"/>
    <x v="129"/>
    <n v="1.9"/>
    <n v="2.7"/>
    <n v="4"/>
    <n v="4.5999999999999996"/>
    <n v="5.2"/>
    <n v="4"/>
    <n v="3.4"/>
    <n v="3.8"/>
    <n v="3.7"/>
    <n v="3.8"/>
    <n v="1.5"/>
    <n v="2.8"/>
  </r>
  <r>
    <x v="150"/>
    <d v="2007-01-01T00:00:00"/>
    <s v="150th"/>
    <x v="130"/>
    <n v="3"/>
    <n v="2.2999999999999998"/>
    <n v="2"/>
    <n v="3.5"/>
    <n v="5.0999999999999996"/>
    <n v="5.9"/>
    <n v="2.9"/>
    <n v="4"/>
    <n v="2.5"/>
    <n v="5.0999999999999996"/>
    <n v="1.1000000000000001"/>
    <n v="3.5"/>
  </r>
  <r>
    <x v="151"/>
    <d v="2007-01-01T00:00:00"/>
    <s v="151st"/>
    <x v="131"/>
    <n v="1"/>
    <n v="2.9"/>
    <n v="3.5"/>
    <n v="1.4"/>
    <n v="2.4"/>
    <n v="5.5"/>
    <n v="3.9"/>
    <n v="2"/>
    <n v="2.7"/>
    <n v="4"/>
    <n v="3.9"/>
    <n v="6.5"/>
  </r>
  <r>
    <x v="152"/>
    <d v="2007-01-01T00:00:00"/>
    <s v="152nd"/>
    <x v="132"/>
    <n v="4.3"/>
    <n v="5.6"/>
    <n v="5.7"/>
    <n v="3.4"/>
    <n v="5"/>
    <n v="1.6"/>
    <n v="1.4"/>
    <n v="1.9"/>
    <n v="2.8"/>
    <n v="3.7"/>
    <n v="1.8"/>
    <n v="2"/>
  </r>
  <r>
    <x v="153"/>
    <d v="2007-01-01T00:00:00"/>
    <s v="153rd"/>
    <x v="133"/>
    <n v="2.5"/>
    <n v="1.8"/>
    <n v="4.9000000000000004"/>
    <n v="3"/>
    <n v="5.5"/>
    <n v="3"/>
    <n v="2.2999999999999998"/>
    <n v="1.7"/>
    <n v="2.9"/>
    <n v="3.9"/>
    <n v="4.8"/>
    <n v="2.1"/>
  </r>
  <r>
    <x v="154"/>
    <d v="2007-01-01T00:00:00"/>
    <s v="154th"/>
    <x v="134"/>
    <n v="3"/>
    <n v="1.1000000000000001"/>
    <n v="3.4"/>
    <n v="3.2"/>
    <n v="5.4"/>
    <n v="3.5"/>
    <n v="3.2"/>
    <n v="3.5"/>
    <n v="3.5"/>
    <n v="4"/>
    <n v="1.7"/>
    <n v="2"/>
  </r>
  <r>
    <x v="155"/>
    <d v="2007-01-01T00:00:00"/>
    <s v="155th"/>
    <x v="135"/>
    <n v="2.5"/>
    <n v="3.2"/>
    <n v="3.5"/>
    <n v="3.8"/>
    <n v="4.5"/>
    <n v="3"/>
    <n v="3.7"/>
    <n v="2"/>
    <n v="1.8"/>
    <n v="3.6"/>
    <n v="3.5"/>
    <n v="2"/>
  </r>
  <r>
    <x v="156"/>
    <d v="2007-01-01T00:00:00"/>
    <s v="156th"/>
    <x v="136"/>
    <n v="1"/>
    <n v="1.8"/>
    <n v="5.8"/>
    <n v="2.9"/>
    <n v="4.8"/>
    <n v="2"/>
    <n v="1.5"/>
    <n v="1.4"/>
    <n v="3.2"/>
    <n v="4.0999999999999996"/>
    <n v="3.6"/>
    <n v="2"/>
  </r>
  <r>
    <x v="157"/>
    <d v="2007-01-01T00:00:00"/>
    <s v="156th"/>
    <x v="136"/>
    <n v="3"/>
    <n v="2.7"/>
    <n v="4.2"/>
    <n v="1.4"/>
    <n v="4.7"/>
    <n v="2"/>
    <n v="2.2000000000000002"/>
    <n v="1.8"/>
    <n v="2.6"/>
    <n v="3.4"/>
    <n v="4"/>
    <n v="2.1"/>
  </r>
  <r>
    <x v="158"/>
    <d v="2007-01-01T00:00:00"/>
    <s v="158th"/>
    <x v="137"/>
    <n v="2"/>
    <n v="1.5"/>
    <n v="3.5"/>
    <n v="3.8"/>
    <n v="4"/>
    <n v="2.1"/>
    <n v="1.6"/>
    <n v="3.7"/>
    <n v="3.7"/>
    <n v="3.8"/>
    <n v="1.1000000000000001"/>
    <n v="3"/>
  </r>
  <r>
    <x v="159"/>
    <d v="2007-01-01T00:00:00"/>
    <s v="159th"/>
    <x v="138"/>
    <n v="1.3"/>
    <n v="1.7"/>
    <n v="3.2"/>
    <n v="1.8"/>
    <n v="5.8"/>
    <n v="1"/>
    <n v="2.8"/>
    <n v="1.4"/>
    <n v="4.5999999999999996"/>
    <n v="3.5"/>
    <n v="5.5"/>
    <n v="1"/>
  </r>
  <r>
    <x v="160"/>
    <d v="2007-01-01T00:00:00"/>
    <s v="160th"/>
    <x v="139"/>
    <n v="1"/>
    <n v="4"/>
    <n v="3"/>
    <n v="3.4"/>
    <n v="2.5"/>
    <n v="3"/>
    <n v="3.6"/>
    <n v="1.5"/>
    <n v="4"/>
    <n v="2.9"/>
    <n v="1.1000000000000001"/>
    <n v="3"/>
  </r>
  <r>
    <x v="161"/>
    <d v="2007-01-01T00:00:00"/>
    <s v="161st"/>
    <x v="140"/>
    <n v="1"/>
    <n v="1.3"/>
    <n v="2.5"/>
    <n v="3.7"/>
    <n v="3.9"/>
    <n v="2.1"/>
    <n v="1.5"/>
    <n v="3.7"/>
    <n v="3.3"/>
    <n v="4.8"/>
    <n v="1.1000000000000001"/>
    <n v="3.5"/>
  </r>
  <r>
    <x v="162"/>
    <d v="2007-01-01T00:00:00"/>
    <s v="162nd"/>
    <x v="141"/>
    <n v="1"/>
    <n v="1"/>
    <n v="4.8"/>
    <n v="2"/>
    <n v="4"/>
    <n v="2.5"/>
    <n v="1.3"/>
    <n v="1.4"/>
    <n v="1.4"/>
    <n v="3.2"/>
    <n v="4"/>
    <n v="2"/>
  </r>
  <r>
    <x v="163"/>
    <d v="2007-01-01T00:00:00"/>
    <s v="163rd"/>
    <x v="142"/>
    <n v="1"/>
    <n v="1.3"/>
    <n v="3.8"/>
    <n v="2.6"/>
    <n v="2.5"/>
    <n v="2"/>
    <n v="1.8"/>
    <n v="1.2"/>
    <n v="3.5"/>
    <n v="4.0999999999999996"/>
    <n v="1.1000000000000001"/>
    <n v="3.6"/>
  </r>
  <r>
    <x v="164"/>
    <d v="2007-01-01T00:00:00"/>
    <s v="164th"/>
    <x v="143"/>
    <n v="2"/>
    <n v="3"/>
    <n v="3.7"/>
    <n v="2"/>
    <n v="2.5"/>
    <n v="1.2"/>
    <n v="3.3"/>
    <n v="2.6"/>
    <n v="1.6"/>
    <n v="2.1"/>
    <n v="1.8"/>
    <n v="2.2999999999999998"/>
  </r>
  <r>
    <x v="165"/>
    <d v="2007-01-01T00:00:00"/>
    <s v="165th"/>
    <x v="144"/>
    <n v="1"/>
    <n v="2"/>
    <n v="3.5"/>
    <n v="1.9"/>
    <n v="5"/>
    <n v="1.1000000000000001"/>
    <n v="1.3"/>
    <n v="1.4"/>
    <n v="1.5"/>
    <n v="2.8"/>
    <n v="2.2000000000000002"/>
    <n v="2.2999999999999998"/>
  </r>
  <r>
    <x v="166"/>
    <d v="2007-01-01T00:00:00"/>
    <s v="166th"/>
    <x v="145"/>
    <n v="1.6"/>
    <n v="1.5"/>
    <n v="4"/>
    <n v="2.1"/>
    <n v="4"/>
    <n v="1.1000000000000001"/>
    <n v="1.5"/>
    <n v="1.4"/>
    <n v="1.5"/>
    <n v="3.2"/>
    <n v="1.6"/>
    <n v="2"/>
  </r>
  <r>
    <x v="167"/>
    <d v="2007-01-01T00:00:00"/>
    <s v="167th"/>
    <x v="146"/>
    <n v="1"/>
    <n v="1.6"/>
    <n v="2"/>
    <n v="1.5"/>
    <n v="5"/>
    <n v="2.1"/>
    <n v="1.5"/>
    <n v="1.2"/>
    <n v="2"/>
    <n v="3.3"/>
    <n v="2.4"/>
    <n v="1.5"/>
  </r>
  <r>
    <x v="168"/>
    <d v="2007-01-01T00:00:00"/>
    <s v="168th"/>
    <x v="147"/>
    <n v="0.9"/>
    <n v="1.5"/>
    <n v="3"/>
    <n v="1.8"/>
    <n v="4.4000000000000004"/>
    <n v="1.1000000000000001"/>
    <n v="1"/>
    <n v="1.4"/>
    <n v="2.5"/>
    <n v="2.9"/>
    <n v="1.6"/>
    <n v="1.1000000000000001"/>
  </r>
  <r>
    <x v="169"/>
    <d v="2007-01-01T00:00:00"/>
    <s v="169th"/>
    <x v="148"/>
    <n v="1"/>
    <n v="1"/>
    <n v="2.5"/>
    <n v="2.1"/>
    <n v="1.9"/>
    <n v="2"/>
    <n v="1"/>
    <n v="1.4"/>
    <n v="1.5"/>
    <n v="3.2"/>
    <n v="2.6"/>
    <n v="2"/>
  </r>
  <r>
    <x v="170"/>
    <d v="2007-01-01T00:00:00"/>
    <s v="170th"/>
    <x v="149"/>
    <n v="1"/>
    <n v="0.8"/>
    <n v="1"/>
    <n v="3.5"/>
    <n v="2.5"/>
    <n v="3.2"/>
    <n v="1.3"/>
    <n v="1.3"/>
    <n v="2.1"/>
    <n v="1"/>
    <n v="0.9"/>
    <n v="2.5"/>
  </r>
  <r>
    <x v="171"/>
    <d v="2007-01-01T00:00:00"/>
    <s v="171st"/>
    <x v="150"/>
    <n v="1"/>
    <n v="1"/>
    <n v="2"/>
    <n v="3"/>
    <n v="4"/>
    <n v="2.1"/>
    <n v="1.1000000000000001"/>
    <n v="1.4"/>
    <n v="1.5"/>
    <n v="1.1000000000000001"/>
    <n v="1.2"/>
    <n v="1.1000000000000001"/>
  </r>
  <r>
    <x v="172"/>
    <d v="2007-01-01T00:00:00"/>
    <s v="172nd"/>
    <x v="151"/>
    <n v="1"/>
    <n v="1"/>
    <n v="2.1"/>
    <n v="1.5"/>
    <n v="2.6"/>
    <n v="2"/>
    <n v="1"/>
    <n v="1.4"/>
    <n v="1.7"/>
    <n v="3.3"/>
    <n v="1.7"/>
    <n v="0.9"/>
  </r>
  <r>
    <x v="173"/>
    <d v="2007-01-01T00:00:00"/>
    <s v="173rd"/>
    <x v="152"/>
    <n v="1"/>
    <n v="1"/>
    <n v="1"/>
    <n v="2.1"/>
    <n v="2.9"/>
    <n v="2.1"/>
    <n v="1.5"/>
    <n v="1.8"/>
    <n v="1.5"/>
    <n v="1.6"/>
    <n v="1.5"/>
    <n v="1.5"/>
  </r>
  <r>
    <x v="174"/>
    <d v="2007-01-01T00:00:00"/>
    <s v="174th"/>
    <x v="153"/>
    <n v="0.9"/>
    <n v="1"/>
    <n v="1"/>
    <n v="1.3"/>
    <n v="2"/>
    <n v="2"/>
    <n v="1"/>
    <n v="1.2"/>
    <n v="1.4"/>
    <n v="3.2"/>
    <n v="2.8"/>
    <n v="1.5"/>
  </r>
  <r>
    <x v="175"/>
    <d v="2007-01-01T00:00:00"/>
    <s v="175th"/>
    <x v="154"/>
    <n v="0.9"/>
    <n v="0.7"/>
    <n v="1"/>
    <n v="2.2000000000000002"/>
    <n v="1.9"/>
    <n v="2.1"/>
    <n v="0.9"/>
    <n v="1.2"/>
    <n v="1.5"/>
    <n v="2.5"/>
    <n v="1.6"/>
    <n v="2"/>
  </r>
  <r>
    <x v="176"/>
    <d v="2007-01-01T00:00:00"/>
    <s v="176th"/>
    <x v="155"/>
    <n v="1"/>
    <n v="1"/>
    <n v="1"/>
    <n v="2.1"/>
    <n v="2"/>
    <n v="1.1000000000000001"/>
    <n v="1"/>
    <n v="1.3"/>
    <n v="1.5"/>
    <n v="2"/>
    <n v="1.6"/>
    <n v="1.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3D2F1A8-AE9E-43F9-A14F-A1CCE8239A9D}" name="PivotTable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:B14" firstHeaderRow="1" firstDataRow="1" firstDataCol="1"/>
  <pivotFields count="16">
    <pivotField axis="axisRow" showAll="0" measureFilter="1" sortType="descending">
      <items count="178">
        <item x="7"/>
        <item x="110"/>
        <item x="88"/>
        <item x="52"/>
        <item x="120"/>
        <item x="149"/>
        <item x="111"/>
        <item x="168"/>
        <item x="165"/>
        <item x="61"/>
        <item x="128"/>
        <item x="133"/>
        <item x="15"/>
        <item x="129"/>
        <item x="50"/>
        <item x="166"/>
        <item x="113"/>
        <item x="103"/>
        <item x="46"/>
        <item x="58"/>
        <item x="53"/>
        <item x="118"/>
        <item x="116"/>
        <item x="108"/>
        <item x="127"/>
        <item x="32"/>
        <item x="18"/>
        <item x="47"/>
        <item x="34"/>
        <item x="167"/>
        <item x="65"/>
        <item x="9"/>
        <item x="4"/>
        <item x="158"/>
        <item x="62"/>
        <item x="33"/>
        <item x="78"/>
        <item x="6"/>
        <item x="25"/>
        <item x="139"/>
        <item x="5"/>
        <item x="126"/>
        <item x="76"/>
        <item x="112"/>
        <item x="148"/>
        <item x="169"/>
        <item x="70"/>
        <item x="68"/>
        <item x="72"/>
        <item x="35"/>
        <item x="91"/>
        <item x="40"/>
        <item x="49"/>
        <item x="140"/>
        <item x="17"/>
        <item x="89"/>
        <item x="175"/>
        <item x="156"/>
        <item x="98"/>
        <item x="85"/>
        <item x="57"/>
        <item x="153"/>
        <item x="124"/>
        <item x="146"/>
        <item x="104"/>
        <item x="59"/>
        <item x="8"/>
        <item x="37"/>
        <item x="99"/>
        <item x="10"/>
        <item x="93"/>
        <item x="138"/>
        <item x="170"/>
        <item x="109"/>
        <item x="54"/>
        <item x="56"/>
        <item x="1"/>
        <item x="173"/>
        <item x="74"/>
        <item x="155"/>
        <item x="122"/>
        <item x="163"/>
        <item x="81"/>
        <item x="102"/>
        <item x="30"/>
        <item x="123"/>
        <item x="41"/>
        <item x="43"/>
        <item x="134"/>
        <item x="27"/>
        <item x="63"/>
        <item x="26"/>
        <item x="114"/>
        <item x="142"/>
        <item x="164"/>
        <item x="94"/>
        <item x="82"/>
        <item x="28"/>
        <item x="119"/>
        <item x="66"/>
        <item x="90"/>
        <item x="143"/>
        <item x="44"/>
        <item x="147"/>
        <item x="101"/>
        <item x="97"/>
        <item x="48"/>
        <item x="131"/>
        <item x="135"/>
        <item x="86"/>
        <item x="80"/>
        <item x="13"/>
        <item x="106"/>
        <item x="20"/>
        <item x="162"/>
        <item x="171"/>
        <item x="71"/>
        <item x="31"/>
        <item x="16"/>
        <item x="12"/>
        <item x="176"/>
        <item x="145"/>
        <item x="11"/>
        <item x="130"/>
        <item x="51"/>
        <item x="100"/>
        <item x="84"/>
        <item x="55"/>
        <item x="144"/>
        <item x="161"/>
        <item x="136"/>
        <item x="125"/>
        <item x="64"/>
        <item x="36"/>
        <item x="96"/>
        <item x="77"/>
        <item x="83"/>
        <item x="117"/>
        <item x="67"/>
        <item x="107"/>
        <item x="22"/>
        <item x="160"/>
        <item x="141"/>
        <item x="154"/>
        <item x="29"/>
        <item x="2"/>
        <item x="132"/>
        <item x="151"/>
        <item x="152"/>
        <item x="24"/>
        <item x="0"/>
        <item x="95"/>
        <item x="60"/>
        <item x="174"/>
        <item x="172"/>
        <item x="39"/>
        <item x="38"/>
        <item x="75"/>
        <item x="87"/>
        <item x="19"/>
        <item x="45"/>
        <item x="115"/>
        <item x="121"/>
        <item x="92"/>
        <item x="42"/>
        <item x="14"/>
        <item x="105"/>
        <item x="137"/>
        <item x="157"/>
        <item x="159"/>
        <item x="150"/>
        <item x="21"/>
        <item x="73"/>
        <item x="79"/>
        <item x="23"/>
        <item x="69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65" showAll="0"/>
    <pivotField showAll="0"/>
    <pivotField dataField="1" numFmtId="164" showAll="0" defaultSubtotal="0">
      <items count="156">
        <item x="155"/>
        <item x="154"/>
        <item x="153"/>
        <item x="152"/>
        <item x="151"/>
        <item x="150"/>
        <item x="149"/>
        <item x="148"/>
        <item x="147"/>
        <item x="146"/>
        <item x="145"/>
        <item x="144"/>
        <item x="143"/>
        <item x="142"/>
        <item x="141"/>
        <item x="140"/>
        <item x="139"/>
        <item x="138"/>
        <item x="137"/>
        <item x="136"/>
        <item x="135"/>
        <item x="134"/>
        <item x="133"/>
        <item x="132"/>
        <item x="131"/>
        <item x="130"/>
        <item x="129"/>
        <item x="128"/>
        <item x="127"/>
        <item x="126"/>
        <item x="125"/>
        <item x="124"/>
        <item x="123"/>
        <item x="122"/>
        <item x="121"/>
        <item x="120"/>
        <item x="119"/>
        <item x="118"/>
        <item x="117"/>
        <item x="116"/>
        <item x="115"/>
        <item x="114"/>
        <item x="113"/>
        <item x="112"/>
        <item x="111"/>
        <item x="110"/>
        <item x="109"/>
        <item x="108"/>
        <item x="107"/>
        <item x="106"/>
        <item x="105"/>
        <item x="104"/>
        <item x="103"/>
        <item x="102"/>
        <item x="101"/>
        <item x="100"/>
        <item x="99"/>
        <item x="98"/>
        <item x="97"/>
        <item x="96"/>
        <item x="95"/>
        <item x="94"/>
        <item x="93"/>
        <item x="92"/>
        <item x="91"/>
        <item x="90"/>
        <item x="89"/>
        <item x="88"/>
        <item x="87"/>
        <item x="86"/>
        <item x="85"/>
        <item x="84"/>
        <item x="83"/>
        <item x="82"/>
        <item x="81"/>
        <item x="80"/>
        <item x="79"/>
        <item x="78"/>
        <item x="77"/>
        <item x="76"/>
        <item x="75"/>
        <item x="74"/>
        <item x="73"/>
        <item x="72"/>
        <item x="71"/>
        <item x="70"/>
        <item x="69"/>
        <item x="68"/>
        <item x="67"/>
        <item x="66"/>
        <item x="65"/>
        <item x="64"/>
        <item x="63"/>
        <item x="62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</items>
    </pivotField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</pivotFields>
  <rowFields count="1">
    <field x="0"/>
  </rowFields>
  <rowItems count="11">
    <i>
      <x v="150"/>
    </i>
    <i>
      <x v="76"/>
    </i>
    <i>
      <x v="145"/>
    </i>
    <i>
      <x v="176"/>
    </i>
    <i>
      <x v="32"/>
    </i>
    <i>
      <x v="40"/>
    </i>
    <i>
      <x v="37"/>
    </i>
    <i>
      <x/>
    </i>
    <i>
      <x v="66"/>
    </i>
    <i>
      <x v="31"/>
    </i>
    <i t="grand">
      <x/>
    </i>
  </rowItems>
  <colItems count="1">
    <i/>
  </colItems>
  <dataFields count="1">
    <dataField name="Sum of Total" fld="3" baseField="0" baseItem="0" numFmtId="164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0" type="count" evalOrder="-1" id="2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4F4F51A-187D-48A6-8E47-CFCF21E69F2F}" name="PivotTable4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C4" firstHeaderRow="0" firstDataRow="1" firstDataCol="0"/>
  <pivotFields count="16">
    <pivotField showAll="0"/>
    <pivotField numFmtId="165" showAll="0"/>
    <pivotField showAll="0"/>
    <pivotField numFmtId="164" showAll="0"/>
    <pivotField dataField="1" numFmtId="164" showAll="0"/>
    <pivotField dataField="1" numFmtId="164" showAll="0"/>
    <pivotField dataField="1"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</pivotFields>
  <rowItems count="1">
    <i/>
  </rowItems>
  <colFields count="1">
    <field x="-2"/>
  </colFields>
  <colItems count="3">
    <i>
      <x/>
    </i>
    <i i="1">
      <x v="1"/>
    </i>
    <i i="2">
      <x v="2"/>
    </i>
  </colItems>
  <dataFields count="3">
    <dataField name="Average of C1: Security Apparatus" fld="4" subtotal="average" baseField="0" baseItem="1" numFmtId="164"/>
    <dataField name="Average of C2: Factionalized Elites" fld="5" subtotal="average" baseField="0" baseItem="1" numFmtId="164"/>
    <dataField name="Average of C3: Group Grievance" fld="6" subtotal="average" baseField="0" baseItem="2" numFmtId="164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2AFF8DA-0464-4AFF-8005-30D37B1571C5}" name="PivotTable5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C4" firstHeaderRow="0" firstDataRow="1" firstDataCol="0"/>
  <pivotFields count="16">
    <pivotField showAll="0"/>
    <pivotField numFmtId="165" showAll="0"/>
    <pivotField showAll="0"/>
    <pivotField numFmtId="164" showAll="0"/>
    <pivotField numFmtId="164" showAll="0"/>
    <pivotField numFmtId="164" showAll="0"/>
    <pivotField numFmtId="164" showAll="0"/>
    <pivotField dataField="1" numFmtId="164" showAll="0"/>
    <pivotField dataField="1" numFmtId="164" showAll="0"/>
    <pivotField dataField="1"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</pivotFields>
  <rowItems count="1">
    <i/>
  </rowItems>
  <colFields count="1">
    <field x="-2"/>
  </colFields>
  <colItems count="3">
    <i>
      <x/>
    </i>
    <i i="1">
      <x v="1"/>
    </i>
    <i i="2">
      <x v="2"/>
    </i>
  </colItems>
  <dataFields count="3">
    <dataField name="Average of E1: Economy" fld="7" subtotal="average" baseField="0" baseItem="1" numFmtId="164"/>
    <dataField name="Average of E2: Economic Inequality" fld="8" subtotal="average" baseField="0" baseItem="1" numFmtId="164"/>
    <dataField name="Average of E3: Human Flight and Brain Drain" fld="9" subtotal="average" baseField="0" baseItem="1" numFmtId="164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17D9873-2C45-43B5-9636-9FC388C6A929}" name="PivotTable6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C4" firstHeaderRow="0" firstDataRow="1" firstDataCol="0"/>
  <pivotFields count="16">
    <pivotField showAll="0"/>
    <pivotField numFmtId="165" showAll="0"/>
    <pivotField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dataField="1" numFmtId="164" showAll="0"/>
    <pivotField dataField="1" numFmtId="164" showAll="0"/>
    <pivotField dataField="1" numFmtId="164" showAll="0"/>
    <pivotField numFmtId="164" showAll="0"/>
    <pivotField numFmtId="164" showAll="0"/>
    <pivotField numFmtId="164" showAll="0"/>
  </pivotFields>
  <rowItems count="1">
    <i/>
  </rowItems>
  <colFields count="1">
    <field x="-2"/>
  </colFields>
  <colItems count="3">
    <i>
      <x/>
    </i>
    <i i="1">
      <x v="1"/>
    </i>
    <i i="2">
      <x v="2"/>
    </i>
  </colItems>
  <dataFields count="3">
    <dataField name="Average of P1: State Legitimacy" fld="10" subtotal="average" baseField="0" baseItem="1" numFmtId="164"/>
    <dataField name="Average of P2: Public Services" fld="11" subtotal="average" baseField="0" baseItem="1" numFmtId="164"/>
    <dataField name="Average of P3: Human Rights" fld="12" subtotal="average" baseField="0" baseItem="2" numFmtId="164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5A344B7-24E6-40BC-8B85-73DA3ED7D1C4}" name="PivotTable7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4" firstHeaderRow="0" firstDataRow="1" firstDataCol="0"/>
  <pivotFields count="16">
    <pivotField showAll="0"/>
    <pivotField numFmtId="165" showAll="0"/>
    <pivotField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dataField="1" numFmtId="164" showAll="0"/>
    <pivotField dataField="1" numFmtId="164" showAll="0"/>
    <pivotField numFmtId="164" showAll="0"/>
  </pivotFields>
  <rowItems count="1">
    <i/>
  </rowItems>
  <colFields count="1">
    <field x="-2"/>
  </colFields>
  <colItems count="2">
    <i>
      <x/>
    </i>
    <i i="1">
      <x v="1"/>
    </i>
  </colItems>
  <dataFields count="2">
    <dataField name="Average of S1: Demographic Pressures" fld="13" subtotal="average" baseField="0" baseItem="1" numFmtId="164"/>
    <dataField name="Average of S2: Refugees and IDPs" fld="14" subtotal="average" baseField="0" baseItem="1" numFmtId="164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EAB2D54-74DB-4284-9AD6-CAF83E702DC9}" name="PivotTable8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A4" firstHeaderRow="1" firstDataRow="1" firstDataCol="0"/>
  <pivotFields count="16">
    <pivotField showAll="0"/>
    <pivotField numFmtId="165" showAll="0"/>
    <pivotField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dataField="1" numFmtId="164" showAll="0"/>
  </pivotFields>
  <rowItems count="1">
    <i/>
  </rowItems>
  <colItems count="1">
    <i/>
  </colItems>
  <dataFields count="1">
    <dataField name="Average of X1: External Intervention" fld="15" subtotal="average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4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5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ivotTable" Target="../pivotTables/pivot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8D44D3-84C9-4012-A1AC-250FF797CDED}">
  <dimension ref="A1:V59"/>
  <sheetViews>
    <sheetView workbookViewId="0">
      <selection activeCell="E8" sqref="E8"/>
    </sheetView>
  </sheetViews>
  <sheetFormatPr defaultRowHeight="13.2" x14ac:dyDescent="0.25"/>
  <cols>
    <col min="1" max="1" width="26" bestFit="1" customWidth="1"/>
    <col min="2" max="2" width="20.5546875" bestFit="1" customWidth="1"/>
    <col min="13" max="13" width="4.21875" bestFit="1" customWidth="1"/>
  </cols>
  <sheetData>
    <row r="1" spans="1:22" ht="23.4" thickBot="1" x14ac:dyDescent="0.45">
      <c r="A1" s="76" t="s">
        <v>397</v>
      </c>
      <c r="B1" s="77"/>
      <c r="C1" s="77"/>
      <c r="D1" s="77"/>
      <c r="E1" s="77"/>
      <c r="F1" s="77"/>
      <c r="G1" s="77"/>
      <c r="H1" s="77"/>
      <c r="I1" s="77"/>
      <c r="J1" s="77"/>
      <c r="K1" s="77"/>
      <c r="L1" s="78"/>
      <c r="M1" s="64"/>
      <c r="N1" s="64"/>
      <c r="O1" s="64"/>
      <c r="P1" s="64"/>
      <c r="Q1" s="64"/>
      <c r="R1" s="64"/>
      <c r="S1" s="64"/>
      <c r="T1" s="64"/>
      <c r="U1" s="64"/>
      <c r="V1" s="64"/>
    </row>
    <row r="2" spans="1:22" ht="15.6" x14ac:dyDescent="0.3">
      <c r="A2" s="65" t="s">
        <v>398</v>
      </c>
      <c r="B2" s="65"/>
      <c r="C2" s="65"/>
      <c r="D2" s="65"/>
      <c r="E2" s="65"/>
      <c r="F2" s="66"/>
    </row>
    <row r="3" spans="1:22" ht="13.8" thickBot="1" x14ac:dyDescent="0.3"/>
    <row r="4" spans="1:22" x14ac:dyDescent="0.25">
      <c r="A4" s="67" t="s">
        <v>399</v>
      </c>
      <c r="B4" s="68"/>
    </row>
    <row r="5" spans="1:22" x14ac:dyDescent="0.25">
      <c r="A5" s="69" t="s">
        <v>400</v>
      </c>
      <c r="B5" s="69" t="s">
        <v>401</v>
      </c>
    </row>
    <row r="6" spans="1:22" x14ac:dyDescent="0.25">
      <c r="A6" s="69" t="s">
        <v>402</v>
      </c>
      <c r="B6" s="69">
        <v>5.87</v>
      </c>
    </row>
    <row r="7" spans="1:22" x14ac:dyDescent="0.25">
      <c r="A7" s="69" t="s">
        <v>403</v>
      </c>
      <c r="B7" s="69" t="s">
        <v>408</v>
      </c>
    </row>
    <row r="8" spans="1:22" x14ac:dyDescent="0.25">
      <c r="A8" s="69" t="s">
        <v>425</v>
      </c>
      <c r="B8" s="69" t="s">
        <v>426</v>
      </c>
    </row>
    <row r="9" spans="1:22" x14ac:dyDescent="0.25">
      <c r="A9" s="69" t="s">
        <v>404</v>
      </c>
      <c r="B9" s="69">
        <v>6.8</v>
      </c>
    </row>
    <row r="10" spans="1:22" x14ac:dyDescent="0.25">
      <c r="A10" s="69" t="s">
        <v>405</v>
      </c>
      <c r="B10" s="69" t="s">
        <v>409</v>
      </c>
    </row>
    <row r="11" spans="1:22" x14ac:dyDescent="0.25">
      <c r="A11" s="57" t="s">
        <v>406</v>
      </c>
      <c r="B11" s="57" t="s">
        <v>410</v>
      </c>
      <c r="M11" s="44"/>
      <c r="N11" s="44"/>
    </row>
    <row r="12" spans="1:22" x14ac:dyDescent="0.25">
      <c r="A12" s="69" t="s">
        <v>407</v>
      </c>
      <c r="B12" s="69" t="s">
        <v>411</v>
      </c>
      <c r="M12" s="45"/>
      <c r="N12" s="45"/>
    </row>
    <row r="13" spans="1:22" x14ac:dyDescent="0.25">
      <c r="A13" s="69" t="s">
        <v>412</v>
      </c>
      <c r="B13" s="69">
        <v>5.7</v>
      </c>
      <c r="M13" s="45"/>
      <c r="N13" s="45"/>
    </row>
    <row r="14" spans="1:22" x14ac:dyDescent="0.25">
      <c r="M14" s="45"/>
      <c r="N14" s="45"/>
    </row>
    <row r="15" spans="1:22" x14ac:dyDescent="0.25">
      <c r="M15" s="45"/>
      <c r="N15" s="45"/>
    </row>
    <row r="16" spans="1:22" x14ac:dyDescent="0.25">
      <c r="M16" s="45"/>
      <c r="N16" s="45"/>
    </row>
    <row r="17" spans="13:14" x14ac:dyDescent="0.25">
      <c r="M17" s="45"/>
      <c r="N17" s="45"/>
    </row>
    <row r="18" spans="13:14" x14ac:dyDescent="0.25">
      <c r="M18" s="45"/>
      <c r="N18" s="45"/>
    </row>
    <row r="19" spans="13:14" x14ac:dyDescent="0.25">
      <c r="M19" s="45"/>
      <c r="N19" s="45"/>
    </row>
    <row r="20" spans="13:14" x14ac:dyDescent="0.25">
      <c r="M20" s="45"/>
      <c r="N20" s="45"/>
    </row>
    <row r="21" spans="13:14" x14ac:dyDescent="0.25">
      <c r="M21" s="45"/>
      <c r="N21" s="45"/>
    </row>
    <row r="22" spans="13:14" x14ac:dyDescent="0.25">
      <c r="M22" s="45"/>
      <c r="N22" s="45"/>
    </row>
    <row r="23" spans="13:14" x14ac:dyDescent="0.25">
      <c r="M23" s="45"/>
      <c r="N23" s="45"/>
    </row>
    <row r="24" spans="13:14" x14ac:dyDescent="0.25">
      <c r="M24" s="45"/>
      <c r="N24" s="45"/>
    </row>
    <row r="25" spans="13:14" x14ac:dyDescent="0.25">
      <c r="M25" s="45"/>
      <c r="N25" s="45"/>
    </row>
    <row r="50" spans="1:1" ht="13.8" thickBot="1" x14ac:dyDescent="0.3"/>
    <row r="51" spans="1:1" ht="14.4" thickBot="1" x14ac:dyDescent="0.3">
      <c r="A51" s="72" t="s">
        <v>413</v>
      </c>
    </row>
    <row r="52" spans="1:1" x14ac:dyDescent="0.25">
      <c r="A52" s="71" t="s">
        <v>414</v>
      </c>
    </row>
    <row r="53" spans="1:1" x14ac:dyDescent="0.25">
      <c r="A53" s="70" t="s">
        <v>415</v>
      </c>
    </row>
    <row r="54" spans="1:1" x14ac:dyDescent="0.25">
      <c r="A54" s="70" t="s">
        <v>416</v>
      </c>
    </row>
    <row r="55" spans="1:1" x14ac:dyDescent="0.25">
      <c r="A55" s="70" t="s">
        <v>417</v>
      </c>
    </row>
    <row r="56" spans="1:1" x14ac:dyDescent="0.25">
      <c r="A56" s="70" t="s">
        <v>418</v>
      </c>
    </row>
    <row r="57" spans="1:1" x14ac:dyDescent="0.25">
      <c r="A57" s="70" t="s">
        <v>419</v>
      </c>
    </row>
    <row r="58" spans="1:1" x14ac:dyDescent="0.25">
      <c r="A58" s="70" t="s">
        <v>420</v>
      </c>
    </row>
    <row r="59" spans="1:1" x14ac:dyDescent="0.25">
      <c r="A59" s="70" t="s">
        <v>421</v>
      </c>
    </row>
  </sheetData>
  <mergeCells count="3">
    <mergeCell ref="A2:E2"/>
    <mergeCell ref="A4:B4"/>
    <mergeCell ref="A1:L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M183"/>
  <sheetViews>
    <sheetView tabSelected="1" zoomScale="54" zoomScaleNormal="54" workbookViewId="0">
      <selection activeCell="K4" sqref="K4"/>
    </sheetView>
  </sheetViews>
  <sheetFormatPr defaultColWidth="9.6640625" defaultRowHeight="14.4" x14ac:dyDescent="0.3"/>
  <cols>
    <col min="1" max="1" width="17" style="14" bestFit="1" customWidth="1"/>
    <col min="2" max="2" width="7.33203125" style="2" bestFit="1" customWidth="1"/>
    <col min="3" max="3" width="8.33203125" style="15" bestFit="1" customWidth="1"/>
    <col min="4" max="4" width="14.33203125" style="16" bestFit="1" customWidth="1"/>
    <col min="5" max="5" width="6.6640625" style="10" bestFit="1" customWidth="1"/>
    <col min="6" max="6" width="9.33203125" style="10" bestFit="1" customWidth="1"/>
    <col min="7" max="7" width="6.6640625" style="10" bestFit="1" customWidth="1"/>
    <col min="8" max="8" width="6.33203125" style="10" bestFit="1" customWidth="1"/>
    <col min="9" max="9" width="6.6640625" style="10" bestFit="1" customWidth="1"/>
    <col min="10" max="10" width="9.33203125" style="16" bestFit="1" customWidth="1"/>
    <col min="11" max="11" width="6.6640625" style="10" bestFit="1" customWidth="1"/>
    <col min="12" max="12" width="6.6640625" style="16" bestFit="1" customWidth="1"/>
    <col min="13" max="13" width="6.6640625" style="10" bestFit="1" customWidth="1"/>
    <col min="14" max="14" width="9.33203125" style="10" bestFit="1" customWidth="1"/>
    <col min="15" max="16" width="6.6640625" style="10" bestFit="1" customWidth="1"/>
    <col min="17" max="20" width="9.6640625" style="7"/>
    <col min="21" max="21" width="10.77734375" style="7" bestFit="1" customWidth="1"/>
    <col min="22" max="22" width="60.5546875" style="7" bestFit="1" customWidth="1"/>
    <col min="23" max="23" width="13.109375" style="7" bestFit="1" customWidth="1"/>
    <col min="24" max="25" width="9.77734375" style="7" bestFit="1" customWidth="1"/>
    <col min="26" max="26" width="29.5546875" style="7" bestFit="1" customWidth="1"/>
    <col min="27" max="27" width="28.5546875" style="7" bestFit="1" customWidth="1"/>
    <col min="28" max="39" width="14.6640625" style="7" bestFit="1" customWidth="1"/>
    <col min="40" max="233" width="9.6640625" style="7"/>
    <col min="234" max="234" width="15.6640625" style="7" customWidth="1"/>
    <col min="235" max="247" width="9.6640625" style="7"/>
    <col min="248" max="248" width="6.109375" style="7" customWidth="1"/>
    <col min="249" max="249" width="35.109375" style="7" customWidth="1"/>
    <col min="250" max="262" width="9.6640625" style="7" customWidth="1"/>
    <col min="263" max="489" width="9.6640625" style="7"/>
    <col min="490" max="490" width="15.6640625" style="7" customWidth="1"/>
    <col min="491" max="503" width="9.6640625" style="7"/>
    <col min="504" max="504" width="6.109375" style="7" customWidth="1"/>
    <col min="505" max="505" width="35.109375" style="7" customWidth="1"/>
    <col min="506" max="518" width="9.6640625" style="7" customWidth="1"/>
    <col min="519" max="745" width="9.6640625" style="7"/>
    <col min="746" max="746" width="15.6640625" style="7" customWidth="1"/>
    <col min="747" max="759" width="9.6640625" style="7"/>
    <col min="760" max="760" width="6.109375" style="7" customWidth="1"/>
    <col min="761" max="761" width="35.109375" style="7" customWidth="1"/>
    <col min="762" max="774" width="9.6640625" style="7" customWidth="1"/>
    <col min="775" max="1001" width="9.6640625" style="7"/>
    <col min="1002" max="1002" width="15.6640625" style="7" customWidth="1"/>
    <col min="1003" max="1015" width="9.6640625" style="7"/>
    <col min="1016" max="1016" width="6.109375" style="7" customWidth="1"/>
    <col min="1017" max="1017" width="35.109375" style="7" customWidth="1"/>
    <col min="1018" max="1030" width="9.6640625" style="7" customWidth="1"/>
    <col min="1031" max="1257" width="9.6640625" style="7"/>
    <col min="1258" max="1258" width="15.6640625" style="7" customWidth="1"/>
    <col min="1259" max="1271" width="9.6640625" style="7"/>
    <col min="1272" max="1272" width="6.109375" style="7" customWidth="1"/>
    <col min="1273" max="1273" width="35.109375" style="7" customWidth="1"/>
    <col min="1274" max="1286" width="9.6640625" style="7" customWidth="1"/>
    <col min="1287" max="1513" width="9.6640625" style="7"/>
    <col min="1514" max="1514" width="15.6640625" style="7" customWidth="1"/>
    <col min="1515" max="1527" width="9.6640625" style="7"/>
    <col min="1528" max="1528" width="6.109375" style="7" customWidth="1"/>
    <col min="1529" max="1529" width="35.109375" style="7" customWidth="1"/>
    <col min="1530" max="1542" width="9.6640625" style="7" customWidth="1"/>
    <col min="1543" max="1769" width="9.6640625" style="7"/>
    <col min="1770" max="1770" width="15.6640625" style="7" customWidth="1"/>
    <col min="1771" max="1783" width="9.6640625" style="7"/>
    <col min="1784" max="1784" width="6.109375" style="7" customWidth="1"/>
    <col min="1785" max="1785" width="35.109375" style="7" customWidth="1"/>
    <col min="1786" max="1798" width="9.6640625" style="7" customWidth="1"/>
    <col min="1799" max="2025" width="9.6640625" style="7"/>
    <col min="2026" max="2026" width="15.6640625" style="7" customWidth="1"/>
    <col min="2027" max="2039" width="9.6640625" style="7"/>
    <col min="2040" max="2040" width="6.109375" style="7" customWidth="1"/>
    <col min="2041" max="2041" width="35.109375" style="7" customWidth="1"/>
    <col min="2042" max="2054" width="9.6640625" style="7" customWidth="1"/>
    <col min="2055" max="2281" width="9.6640625" style="7"/>
    <col min="2282" max="2282" width="15.6640625" style="7" customWidth="1"/>
    <col min="2283" max="2295" width="9.6640625" style="7"/>
    <col min="2296" max="2296" width="6.109375" style="7" customWidth="1"/>
    <col min="2297" max="2297" width="35.109375" style="7" customWidth="1"/>
    <col min="2298" max="2310" width="9.6640625" style="7" customWidth="1"/>
    <col min="2311" max="2537" width="9.6640625" style="7"/>
    <col min="2538" max="2538" width="15.6640625" style="7" customWidth="1"/>
    <col min="2539" max="2551" width="9.6640625" style="7"/>
    <col min="2552" max="2552" width="6.109375" style="7" customWidth="1"/>
    <col min="2553" max="2553" width="35.109375" style="7" customWidth="1"/>
    <col min="2554" max="2566" width="9.6640625" style="7" customWidth="1"/>
    <col min="2567" max="2793" width="9.6640625" style="7"/>
    <col min="2794" max="2794" width="15.6640625" style="7" customWidth="1"/>
    <col min="2795" max="2807" width="9.6640625" style="7"/>
    <col min="2808" max="2808" width="6.109375" style="7" customWidth="1"/>
    <col min="2809" max="2809" width="35.109375" style="7" customWidth="1"/>
    <col min="2810" max="2822" width="9.6640625" style="7" customWidth="1"/>
    <col min="2823" max="3049" width="9.6640625" style="7"/>
    <col min="3050" max="3050" width="15.6640625" style="7" customWidth="1"/>
    <col min="3051" max="3063" width="9.6640625" style="7"/>
    <col min="3064" max="3064" width="6.109375" style="7" customWidth="1"/>
    <col min="3065" max="3065" width="35.109375" style="7" customWidth="1"/>
    <col min="3066" max="3078" width="9.6640625" style="7" customWidth="1"/>
    <col min="3079" max="3305" width="9.6640625" style="7"/>
    <col min="3306" max="3306" width="15.6640625" style="7" customWidth="1"/>
    <col min="3307" max="3319" width="9.6640625" style="7"/>
    <col min="3320" max="3320" width="6.109375" style="7" customWidth="1"/>
    <col min="3321" max="3321" width="35.109375" style="7" customWidth="1"/>
    <col min="3322" max="3334" width="9.6640625" style="7" customWidth="1"/>
    <col min="3335" max="3561" width="9.6640625" style="7"/>
    <col min="3562" max="3562" width="15.6640625" style="7" customWidth="1"/>
    <col min="3563" max="3575" width="9.6640625" style="7"/>
    <col min="3576" max="3576" width="6.109375" style="7" customWidth="1"/>
    <col min="3577" max="3577" width="35.109375" style="7" customWidth="1"/>
    <col min="3578" max="3590" width="9.6640625" style="7" customWidth="1"/>
    <col min="3591" max="3817" width="9.6640625" style="7"/>
    <col min="3818" max="3818" width="15.6640625" style="7" customWidth="1"/>
    <col min="3819" max="3831" width="9.6640625" style="7"/>
    <col min="3832" max="3832" width="6.109375" style="7" customWidth="1"/>
    <col min="3833" max="3833" width="35.109375" style="7" customWidth="1"/>
    <col min="3834" max="3846" width="9.6640625" style="7" customWidth="1"/>
    <col min="3847" max="4073" width="9.6640625" style="7"/>
    <col min="4074" max="4074" width="15.6640625" style="7" customWidth="1"/>
    <col min="4075" max="4087" width="9.6640625" style="7"/>
    <col min="4088" max="4088" width="6.109375" style="7" customWidth="1"/>
    <col min="4089" max="4089" width="35.109375" style="7" customWidth="1"/>
    <col min="4090" max="4102" width="9.6640625" style="7" customWidth="1"/>
    <col min="4103" max="4329" width="9.6640625" style="7"/>
    <col min="4330" max="4330" width="15.6640625" style="7" customWidth="1"/>
    <col min="4331" max="4343" width="9.6640625" style="7"/>
    <col min="4344" max="4344" width="6.109375" style="7" customWidth="1"/>
    <col min="4345" max="4345" width="35.109375" style="7" customWidth="1"/>
    <col min="4346" max="4358" width="9.6640625" style="7" customWidth="1"/>
    <col min="4359" max="4585" width="9.6640625" style="7"/>
    <col min="4586" max="4586" width="15.6640625" style="7" customWidth="1"/>
    <col min="4587" max="4599" width="9.6640625" style="7"/>
    <col min="4600" max="4600" width="6.109375" style="7" customWidth="1"/>
    <col min="4601" max="4601" width="35.109375" style="7" customWidth="1"/>
    <col min="4602" max="4614" width="9.6640625" style="7" customWidth="1"/>
    <col min="4615" max="4841" width="9.6640625" style="7"/>
    <col min="4842" max="4842" width="15.6640625" style="7" customWidth="1"/>
    <col min="4843" max="4855" width="9.6640625" style="7"/>
    <col min="4856" max="4856" width="6.109375" style="7" customWidth="1"/>
    <col min="4857" max="4857" width="35.109375" style="7" customWidth="1"/>
    <col min="4858" max="4870" width="9.6640625" style="7" customWidth="1"/>
    <col min="4871" max="5097" width="9.6640625" style="7"/>
    <col min="5098" max="5098" width="15.6640625" style="7" customWidth="1"/>
    <col min="5099" max="5111" width="9.6640625" style="7"/>
    <col min="5112" max="5112" width="6.109375" style="7" customWidth="1"/>
    <col min="5113" max="5113" width="35.109375" style="7" customWidth="1"/>
    <col min="5114" max="5126" width="9.6640625" style="7" customWidth="1"/>
    <col min="5127" max="5353" width="9.6640625" style="7"/>
    <col min="5354" max="5354" width="15.6640625" style="7" customWidth="1"/>
    <col min="5355" max="5367" width="9.6640625" style="7"/>
    <col min="5368" max="5368" width="6.109375" style="7" customWidth="1"/>
    <col min="5369" max="5369" width="35.109375" style="7" customWidth="1"/>
    <col min="5370" max="5382" width="9.6640625" style="7" customWidth="1"/>
    <col min="5383" max="5609" width="9.6640625" style="7"/>
    <col min="5610" max="5610" width="15.6640625" style="7" customWidth="1"/>
    <col min="5611" max="5623" width="9.6640625" style="7"/>
    <col min="5624" max="5624" width="6.109375" style="7" customWidth="1"/>
    <col min="5625" max="5625" width="35.109375" style="7" customWidth="1"/>
    <col min="5626" max="5638" width="9.6640625" style="7" customWidth="1"/>
    <col min="5639" max="5865" width="9.6640625" style="7"/>
    <col min="5866" max="5866" width="15.6640625" style="7" customWidth="1"/>
    <col min="5867" max="5879" width="9.6640625" style="7"/>
    <col min="5880" max="5880" width="6.109375" style="7" customWidth="1"/>
    <col min="5881" max="5881" width="35.109375" style="7" customWidth="1"/>
    <col min="5882" max="5894" width="9.6640625" style="7" customWidth="1"/>
    <col min="5895" max="6121" width="9.6640625" style="7"/>
    <col min="6122" max="6122" width="15.6640625" style="7" customWidth="1"/>
    <col min="6123" max="6135" width="9.6640625" style="7"/>
    <col min="6136" max="6136" width="6.109375" style="7" customWidth="1"/>
    <col min="6137" max="6137" width="35.109375" style="7" customWidth="1"/>
    <col min="6138" max="6150" width="9.6640625" style="7" customWidth="1"/>
    <col min="6151" max="6377" width="9.6640625" style="7"/>
    <col min="6378" max="6378" width="15.6640625" style="7" customWidth="1"/>
    <col min="6379" max="6391" width="9.6640625" style="7"/>
    <col min="6392" max="6392" width="6.109375" style="7" customWidth="1"/>
    <col min="6393" max="6393" width="35.109375" style="7" customWidth="1"/>
    <col min="6394" max="6406" width="9.6640625" style="7" customWidth="1"/>
    <col min="6407" max="6633" width="9.6640625" style="7"/>
    <col min="6634" max="6634" width="15.6640625" style="7" customWidth="1"/>
    <col min="6635" max="6647" width="9.6640625" style="7"/>
    <col min="6648" max="6648" width="6.109375" style="7" customWidth="1"/>
    <col min="6649" max="6649" width="35.109375" style="7" customWidth="1"/>
    <col min="6650" max="6662" width="9.6640625" style="7" customWidth="1"/>
    <col min="6663" max="6889" width="9.6640625" style="7"/>
    <col min="6890" max="6890" width="15.6640625" style="7" customWidth="1"/>
    <col min="6891" max="6903" width="9.6640625" style="7"/>
    <col min="6904" max="6904" width="6.109375" style="7" customWidth="1"/>
    <col min="6905" max="6905" width="35.109375" style="7" customWidth="1"/>
    <col min="6906" max="6918" width="9.6640625" style="7" customWidth="1"/>
    <col min="6919" max="7145" width="9.6640625" style="7"/>
    <col min="7146" max="7146" width="15.6640625" style="7" customWidth="1"/>
    <col min="7147" max="7159" width="9.6640625" style="7"/>
    <col min="7160" max="7160" width="6.109375" style="7" customWidth="1"/>
    <col min="7161" max="7161" width="35.109375" style="7" customWidth="1"/>
    <col min="7162" max="7174" width="9.6640625" style="7" customWidth="1"/>
    <col min="7175" max="7401" width="9.6640625" style="7"/>
    <col min="7402" max="7402" width="15.6640625" style="7" customWidth="1"/>
    <col min="7403" max="7415" width="9.6640625" style="7"/>
    <col min="7416" max="7416" width="6.109375" style="7" customWidth="1"/>
    <col min="7417" max="7417" width="35.109375" style="7" customWidth="1"/>
    <col min="7418" max="7430" width="9.6640625" style="7" customWidth="1"/>
    <col min="7431" max="7657" width="9.6640625" style="7"/>
    <col min="7658" max="7658" width="15.6640625" style="7" customWidth="1"/>
    <col min="7659" max="7671" width="9.6640625" style="7"/>
    <col min="7672" max="7672" width="6.109375" style="7" customWidth="1"/>
    <col min="7673" max="7673" width="35.109375" style="7" customWidth="1"/>
    <col min="7674" max="7686" width="9.6640625" style="7" customWidth="1"/>
    <col min="7687" max="7913" width="9.6640625" style="7"/>
    <col min="7914" max="7914" width="15.6640625" style="7" customWidth="1"/>
    <col min="7915" max="7927" width="9.6640625" style="7"/>
    <col min="7928" max="7928" width="6.109375" style="7" customWidth="1"/>
    <col min="7929" max="7929" width="35.109375" style="7" customWidth="1"/>
    <col min="7930" max="7942" width="9.6640625" style="7" customWidth="1"/>
    <col min="7943" max="8169" width="9.6640625" style="7"/>
    <col min="8170" max="8170" width="15.6640625" style="7" customWidth="1"/>
    <col min="8171" max="8183" width="9.6640625" style="7"/>
    <col min="8184" max="8184" width="6.109375" style="7" customWidth="1"/>
    <col min="8185" max="8185" width="35.109375" style="7" customWidth="1"/>
    <col min="8186" max="8198" width="9.6640625" style="7" customWidth="1"/>
    <col min="8199" max="8425" width="9.6640625" style="7"/>
    <col min="8426" max="8426" width="15.6640625" style="7" customWidth="1"/>
    <col min="8427" max="8439" width="9.6640625" style="7"/>
    <col min="8440" max="8440" width="6.109375" style="7" customWidth="1"/>
    <col min="8441" max="8441" width="35.109375" style="7" customWidth="1"/>
    <col min="8442" max="8454" width="9.6640625" style="7" customWidth="1"/>
    <col min="8455" max="8681" width="9.6640625" style="7"/>
    <col min="8682" max="8682" width="15.6640625" style="7" customWidth="1"/>
    <col min="8683" max="8695" width="9.6640625" style="7"/>
    <col min="8696" max="8696" width="6.109375" style="7" customWidth="1"/>
    <col min="8697" max="8697" width="35.109375" style="7" customWidth="1"/>
    <col min="8698" max="8710" width="9.6640625" style="7" customWidth="1"/>
    <col min="8711" max="8937" width="9.6640625" style="7"/>
    <col min="8938" max="8938" width="15.6640625" style="7" customWidth="1"/>
    <col min="8939" max="8951" width="9.6640625" style="7"/>
    <col min="8952" max="8952" width="6.109375" style="7" customWidth="1"/>
    <col min="8953" max="8953" width="35.109375" style="7" customWidth="1"/>
    <col min="8954" max="8966" width="9.6640625" style="7" customWidth="1"/>
    <col min="8967" max="9193" width="9.6640625" style="7"/>
    <col min="9194" max="9194" width="15.6640625" style="7" customWidth="1"/>
    <col min="9195" max="9207" width="9.6640625" style="7"/>
    <col min="9208" max="9208" width="6.109375" style="7" customWidth="1"/>
    <col min="9209" max="9209" width="35.109375" style="7" customWidth="1"/>
    <col min="9210" max="9222" width="9.6640625" style="7" customWidth="1"/>
    <col min="9223" max="9449" width="9.6640625" style="7"/>
    <col min="9450" max="9450" width="15.6640625" style="7" customWidth="1"/>
    <col min="9451" max="9463" width="9.6640625" style="7"/>
    <col min="9464" max="9464" width="6.109375" style="7" customWidth="1"/>
    <col min="9465" max="9465" width="35.109375" style="7" customWidth="1"/>
    <col min="9466" max="9478" width="9.6640625" style="7" customWidth="1"/>
    <col min="9479" max="9705" width="9.6640625" style="7"/>
    <col min="9706" max="9706" width="15.6640625" style="7" customWidth="1"/>
    <col min="9707" max="9719" width="9.6640625" style="7"/>
    <col min="9720" max="9720" width="6.109375" style="7" customWidth="1"/>
    <col min="9721" max="9721" width="35.109375" style="7" customWidth="1"/>
    <col min="9722" max="9734" width="9.6640625" style="7" customWidth="1"/>
    <col min="9735" max="9961" width="9.6640625" style="7"/>
    <col min="9962" max="9962" width="15.6640625" style="7" customWidth="1"/>
    <col min="9963" max="9975" width="9.6640625" style="7"/>
    <col min="9976" max="9976" width="6.109375" style="7" customWidth="1"/>
    <col min="9977" max="9977" width="35.109375" style="7" customWidth="1"/>
    <col min="9978" max="9990" width="9.6640625" style="7" customWidth="1"/>
    <col min="9991" max="10217" width="9.6640625" style="7"/>
    <col min="10218" max="10218" width="15.6640625" style="7" customWidth="1"/>
    <col min="10219" max="10231" width="9.6640625" style="7"/>
    <col min="10232" max="10232" width="6.109375" style="7" customWidth="1"/>
    <col min="10233" max="10233" width="35.109375" style="7" customWidth="1"/>
    <col min="10234" max="10246" width="9.6640625" style="7" customWidth="1"/>
    <col min="10247" max="10473" width="9.6640625" style="7"/>
    <col min="10474" max="10474" width="15.6640625" style="7" customWidth="1"/>
    <col min="10475" max="10487" width="9.6640625" style="7"/>
    <col min="10488" max="10488" width="6.109375" style="7" customWidth="1"/>
    <col min="10489" max="10489" width="35.109375" style="7" customWidth="1"/>
    <col min="10490" max="10502" width="9.6640625" style="7" customWidth="1"/>
    <col min="10503" max="10729" width="9.6640625" style="7"/>
    <col min="10730" max="10730" width="15.6640625" style="7" customWidth="1"/>
    <col min="10731" max="10743" width="9.6640625" style="7"/>
    <col min="10744" max="10744" width="6.109375" style="7" customWidth="1"/>
    <col min="10745" max="10745" width="35.109375" style="7" customWidth="1"/>
    <col min="10746" max="10758" width="9.6640625" style="7" customWidth="1"/>
    <col min="10759" max="10985" width="9.6640625" style="7"/>
    <col min="10986" max="10986" width="15.6640625" style="7" customWidth="1"/>
    <col min="10987" max="10999" width="9.6640625" style="7"/>
    <col min="11000" max="11000" width="6.109375" style="7" customWidth="1"/>
    <col min="11001" max="11001" width="35.109375" style="7" customWidth="1"/>
    <col min="11002" max="11014" width="9.6640625" style="7" customWidth="1"/>
    <col min="11015" max="11241" width="9.6640625" style="7"/>
    <col min="11242" max="11242" width="15.6640625" style="7" customWidth="1"/>
    <col min="11243" max="11255" width="9.6640625" style="7"/>
    <col min="11256" max="11256" width="6.109375" style="7" customWidth="1"/>
    <col min="11257" max="11257" width="35.109375" style="7" customWidth="1"/>
    <col min="11258" max="11270" width="9.6640625" style="7" customWidth="1"/>
    <col min="11271" max="11497" width="9.6640625" style="7"/>
    <col min="11498" max="11498" width="15.6640625" style="7" customWidth="1"/>
    <col min="11499" max="11511" width="9.6640625" style="7"/>
    <col min="11512" max="11512" width="6.109375" style="7" customWidth="1"/>
    <col min="11513" max="11513" width="35.109375" style="7" customWidth="1"/>
    <col min="11514" max="11526" width="9.6640625" style="7" customWidth="1"/>
    <col min="11527" max="11753" width="9.6640625" style="7"/>
    <col min="11754" max="11754" width="15.6640625" style="7" customWidth="1"/>
    <col min="11755" max="11767" width="9.6640625" style="7"/>
    <col min="11768" max="11768" width="6.109375" style="7" customWidth="1"/>
    <col min="11769" max="11769" width="35.109375" style="7" customWidth="1"/>
    <col min="11770" max="11782" width="9.6640625" style="7" customWidth="1"/>
    <col min="11783" max="12009" width="9.6640625" style="7"/>
    <col min="12010" max="12010" width="15.6640625" style="7" customWidth="1"/>
    <col min="12011" max="12023" width="9.6640625" style="7"/>
    <col min="12024" max="12024" width="6.109375" style="7" customWidth="1"/>
    <col min="12025" max="12025" width="35.109375" style="7" customWidth="1"/>
    <col min="12026" max="12038" width="9.6640625" style="7" customWidth="1"/>
    <col min="12039" max="12265" width="9.6640625" style="7"/>
    <col min="12266" max="12266" width="15.6640625" style="7" customWidth="1"/>
    <col min="12267" max="12279" width="9.6640625" style="7"/>
    <col min="12280" max="12280" width="6.109375" style="7" customWidth="1"/>
    <col min="12281" max="12281" width="35.109375" style="7" customWidth="1"/>
    <col min="12282" max="12294" width="9.6640625" style="7" customWidth="1"/>
    <col min="12295" max="12521" width="9.6640625" style="7"/>
    <col min="12522" max="12522" width="15.6640625" style="7" customWidth="1"/>
    <col min="12523" max="12535" width="9.6640625" style="7"/>
    <col min="12536" max="12536" width="6.109375" style="7" customWidth="1"/>
    <col min="12537" max="12537" width="35.109375" style="7" customWidth="1"/>
    <col min="12538" max="12550" width="9.6640625" style="7" customWidth="1"/>
    <col min="12551" max="12777" width="9.6640625" style="7"/>
    <col min="12778" max="12778" width="15.6640625" style="7" customWidth="1"/>
    <col min="12779" max="12791" width="9.6640625" style="7"/>
    <col min="12792" max="12792" width="6.109375" style="7" customWidth="1"/>
    <col min="12793" max="12793" width="35.109375" style="7" customWidth="1"/>
    <col min="12794" max="12806" width="9.6640625" style="7" customWidth="1"/>
    <col min="12807" max="13033" width="9.6640625" style="7"/>
    <col min="13034" max="13034" width="15.6640625" style="7" customWidth="1"/>
    <col min="13035" max="13047" width="9.6640625" style="7"/>
    <col min="13048" max="13048" width="6.109375" style="7" customWidth="1"/>
    <col min="13049" max="13049" width="35.109375" style="7" customWidth="1"/>
    <col min="13050" max="13062" width="9.6640625" style="7" customWidth="1"/>
    <col min="13063" max="13289" width="9.6640625" style="7"/>
    <col min="13290" max="13290" width="15.6640625" style="7" customWidth="1"/>
    <col min="13291" max="13303" width="9.6640625" style="7"/>
    <col min="13304" max="13304" width="6.109375" style="7" customWidth="1"/>
    <col min="13305" max="13305" width="35.109375" style="7" customWidth="1"/>
    <col min="13306" max="13318" width="9.6640625" style="7" customWidth="1"/>
    <col min="13319" max="13545" width="9.6640625" style="7"/>
    <col min="13546" max="13546" width="15.6640625" style="7" customWidth="1"/>
    <col min="13547" max="13559" width="9.6640625" style="7"/>
    <col min="13560" max="13560" width="6.109375" style="7" customWidth="1"/>
    <col min="13561" max="13561" width="35.109375" style="7" customWidth="1"/>
    <col min="13562" max="13574" width="9.6640625" style="7" customWidth="1"/>
    <col min="13575" max="13801" width="9.6640625" style="7"/>
    <col min="13802" max="13802" width="15.6640625" style="7" customWidth="1"/>
    <col min="13803" max="13815" width="9.6640625" style="7"/>
    <col min="13816" max="13816" width="6.109375" style="7" customWidth="1"/>
    <col min="13817" max="13817" width="35.109375" style="7" customWidth="1"/>
    <col min="13818" max="13830" width="9.6640625" style="7" customWidth="1"/>
    <col min="13831" max="14057" width="9.6640625" style="7"/>
    <col min="14058" max="14058" width="15.6640625" style="7" customWidth="1"/>
    <col min="14059" max="14071" width="9.6640625" style="7"/>
    <col min="14072" max="14072" width="6.109375" style="7" customWidth="1"/>
    <col min="14073" max="14073" width="35.109375" style="7" customWidth="1"/>
    <col min="14074" max="14086" width="9.6640625" style="7" customWidth="1"/>
    <col min="14087" max="14313" width="9.6640625" style="7"/>
    <col min="14314" max="14314" width="15.6640625" style="7" customWidth="1"/>
    <col min="14315" max="14327" width="9.6640625" style="7"/>
    <col min="14328" max="14328" width="6.109375" style="7" customWidth="1"/>
    <col min="14329" max="14329" width="35.109375" style="7" customWidth="1"/>
    <col min="14330" max="14342" width="9.6640625" style="7" customWidth="1"/>
    <col min="14343" max="14569" width="9.6640625" style="7"/>
    <col min="14570" max="14570" width="15.6640625" style="7" customWidth="1"/>
    <col min="14571" max="14583" width="9.6640625" style="7"/>
    <col min="14584" max="14584" width="6.109375" style="7" customWidth="1"/>
    <col min="14585" max="14585" width="35.109375" style="7" customWidth="1"/>
    <col min="14586" max="14598" width="9.6640625" style="7" customWidth="1"/>
    <col min="14599" max="14825" width="9.6640625" style="7"/>
    <col min="14826" max="14826" width="15.6640625" style="7" customWidth="1"/>
    <col min="14827" max="14839" width="9.6640625" style="7"/>
    <col min="14840" max="14840" width="6.109375" style="7" customWidth="1"/>
    <col min="14841" max="14841" width="35.109375" style="7" customWidth="1"/>
    <col min="14842" max="14854" width="9.6640625" style="7" customWidth="1"/>
    <col min="14855" max="15081" width="9.6640625" style="7"/>
    <col min="15082" max="15082" width="15.6640625" style="7" customWidth="1"/>
    <col min="15083" max="15095" width="9.6640625" style="7"/>
    <col min="15096" max="15096" width="6.109375" style="7" customWidth="1"/>
    <col min="15097" max="15097" width="35.109375" style="7" customWidth="1"/>
    <col min="15098" max="15110" width="9.6640625" style="7" customWidth="1"/>
    <col min="15111" max="15337" width="9.6640625" style="7"/>
    <col min="15338" max="15338" width="15.6640625" style="7" customWidth="1"/>
    <col min="15339" max="15351" width="9.6640625" style="7"/>
    <col min="15352" max="15352" width="6.109375" style="7" customWidth="1"/>
    <col min="15353" max="15353" width="35.109375" style="7" customWidth="1"/>
    <col min="15354" max="15366" width="9.6640625" style="7" customWidth="1"/>
    <col min="15367" max="15593" width="9.6640625" style="7"/>
    <col min="15594" max="15594" width="15.6640625" style="7" customWidth="1"/>
    <col min="15595" max="15607" width="9.6640625" style="7"/>
    <col min="15608" max="15608" width="6.109375" style="7" customWidth="1"/>
    <col min="15609" max="15609" width="35.109375" style="7" customWidth="1"/>
    <col min="15610" max="15622" width="9.6640625" style="7" customWidth="1"/>
    <col min="15623" max="15849" width="9.6640625" style="7"/>
    <col min="15850" max="15850" width="15.6640625" style="7" customWidth="1"/>
    <col min="15851" max="15863" width="9.6640625" style="7"/>
    <col min="15864" max="15864" width="6.109375" style="7" customWidth="1"/>
    <col min="15865" max="15865" width="35.109375" style="7" customWidth="1"/>
    <col min="15866" max="15878" width="9.6640625" style="7" customWidth="1"/>
    <col min="15879" max="16105" width="9.6640625" style="7"/>
    <col min="16106" max="16106" width="15.6640625" style="7" customWidth="1"/>
    <col min="16107" max="16119" width="9.6640625" style="7"/>
    <col min="16120" max="16120" width="6.109375" style="7" customWidth="1"/>
    <col min="16121" max="16121" width="35.109375" style="7" customWidth="1"/>
    <col min="16122" max="16134" width="9.6640625" style="7" customWidth="1"/>
    <col min="16135" max="16384" width="9.6640625" style="7"/>
  </cols>
  <sheetData>
    <row r="1" spans="1:39" ht="109.5" customHeight="1" x14ac:dyDescent="0.3">
      <c r="A1" s="1" t="s">
        <v>180</v>
      </c>
      <c r="B1" s="2" t="s">
        <v>181</v>
      </c>
      <c r="C1" s="3" t="s">
        <v>179</v>
      </c>
      <c r="D1" s="6" t="s">
        <v>164</v>
      </c>
      <c r="E1" s="4" t="s">
        <v>177</v>
      </c>
      <c r="F1" s="4" t="s">
        <v>178</v>
      </c>
      <c r="G1" s="4" t="s">
        <v>349</v>
      </c>
      <c r="H1" s="4" t="s">
        <v>344</v>
      </c>
      <c r="I1" s="4" t="s">
        <v>170</v>
      </c>
      <c r="J1" s="5" t="s">
        <v>171</v>
      </c>
      <c r="K1" s="4" t="s">
        <v>174</v>
      </c>
      <c r="L1" s="5" t="s">
        <v>175</v>
      </c>
      <c r="M1" s="4" t="s">
        <v>176</v>
      </c>
      <c r="N1" s="4" t="s">
        <v>172</v>
      </c>
      <c r="O1" s="4" t="s">
        <v>173</v>
      </c>
      <c r="P1" s="4" t="s">
        <v>348</v>
      </c>
      <c r="U1" s="37" t="s">
        <v>354</v>
      </c>
      <c r="V1" s="38" t="s">
        <v>355</v>
      </c>
      <c r="W1" s="37" t="s">
        <v>356</v>
      </c>
      <c r="X1" s="39" t="s">
        <v>357</v>
      </c>
      <c r="Y1" s="39" t="s">
        <v>359</v>
      </c>
      <c r="Z1" s="36" t="s">
        <v>358</v>
      </c>
      <c r="AA1" s="36" t="s">
        <v>360</v>
      </c>
      <c r="AB1" s="40" t="s">
        <v>361</v>
      </c>
      <c r="AC1" s="40" t="s">
        <v>385</v>
      </c>
      <c r="AD1" s="40" t="s">
        <v>386</v>
      </c>
      <c r="AE1" s="40" t="s">
        <v>387</v>
      </c>
      <c r="AF1" s="40" t="s">
        <v>388</v>
      </c>
      <c r="AG1" s="40" t="s">
        <v>389</v>
      </c>
      <c r="AH1" s="40" t="s">
        <v>390</v>
      </c>
      <c r="AI1" s="40" t="s">
        <v>391</v>
      </c>
      <c r="AJ1" s="40" t="s">
        <v>392</v>
      </c>
      <c r="AK1" s="40" t="s">
        <v>393</v>
      </c>
      <c r="AL1" s="40" t="s">
        <v>394</v>
      </c>
      <c r="AM1" s="40" t="s">
        <v>395</v>
      </c>
    </row>
    <row r="2" spans="1:39" ht="26.4" x14ac:dyDescent="0.55000000000000004">
      <c r="A2" s="8" t="s">
        <v>1</v>
      </c>
      <c r="B2" s="9">
        <v>39083</v>
      </c>
      <c r="C2" s="10" t="s">
        <v>323</v>
      </c>
      <c r="D2" s="11">
        <v>113.7</v>
      </c>
      <c r="E2" s="11">
        <v>9.9</v>
      </c>
      <c r="F2" s="11">
        <v>9.6999999999999993</v>
      </c>
      <c r="G2" s="11">
        <v>10</v>
      </c>
      <c r="H2" s="11">
        <v>7.7</v>
      </c>
      <c r="I2" s="11">
        <v>9.1</v>
      </c>
      <c r="J2" s="11">
        <v>9</v>
      </c>
      <c r="K2" s="11">
        <v>10</v>
      </c>
      <c r="L2" s="11">
        <v>9.5</v>
      </c>
      <c r="M2" s="11">
        <v>10</v>
      </c>
      <c r="N2" s="11">
        <v>9.1999999999999993</v>
      </c>
      <c r="O2" s="11">
        <v>9.8000000000000007</v>
      </c>
      <c r="P2" s="11">
        <v>9.8000000000000007</v>
      </c>
      <c r="U2" s="30" t="str">
        <f>C2</f>
        <v>1st</v>
      </c>
      <c r="V2" s="31" t="str">
        <f>A2</f>
        <v>Sudan</v>
      </c>
      <c r="W2" s="33">
        <f>D2</f>
        <v>113.7</v>
      </c>
      <c r="X2" s="32">
        <f>COUNTIF(D2:D178,"&gt;100")</f>
        <v>12</v>
      </c>
      <c r="Y2" s="29">
        <f>COUNTIF(D2:D178,"&lt;50")</f>
        <v>36</v>
      </c>
      <c r="Z2" s="35">
        <f>AVERAGEIF(D2:D178,"&gt;100",D2:D178)</f>
        <v>106.125</v>
      </c>
      <c r="AA2" s="29">
        <f>AVERAGEIF(D2:D178,"&lt;50",D2:D178)</f>
        <v>32.966666666666669</v>
      </c>
      <c r="AB2" s="73" t="s">
        <v>422</v>
      </c>
      <c r="AC2" s="73" t="s">
        <v>422</v>
      </c>
      <c r="AD2" s="73" t="s">
        <v>422</v>
      </c>
      <c r="AE2" s="73" t="s">
        <v>422</v>
      </c>
      <c r="AF2" s="73" t="s">
        <v>422</v>
      </c>
      <c r="AG2" s="73" t="s">
        <v>422</v>
      </c>
      <c r="AH2" s="73" t="s">
        <v>422</v>
      </c>
      <c r="AI2" s="73" t="s">
        <v>422</v>
      </c>
      <c r="AJ2" s="73" t="s">
        <v>422</v>
      </c>
      <c r="AK2" s="73" t="s">
        <v>422</v>
      </c>
      <c r="AL2" s="73" t="s">
        <v>422</v>
      </c>
      <c r="AM2" s="73" t="s">
        <v>422</v>
      </c>
    </row>
    <row r="3" spans="1:39" ht="26.4" x14ac:dyDescent="0.55000000000000004">
      <c r="A3" s="8" t="s">
        <v>4</v>
      </c>
      <c r="B3" s="9">
        <v>39083</v>
      </c>
      <c r="C3" s="10" t="s">
        <v>312</v>
      </c>
      <c r="D3" s="11">
        <v>111.4</v>
      </c>
      <c r="E3" s="11">
        <v>10</v>
      </c>
      <c r="F3" s="11">
        <v>9.8000000000000007</v>
      </c>
      <c r="G3" s="11">
        <v>10</v>
      </c>
      <c r="H3" s="11">
        <v>8</v>
      </c>
      <c r="I3" s="11">
        <v>8.5</v>
      </c>
      <c r="J3" s="11">
        <v>9.5</v>
      </c>
      <c r="K3" s="11">
        <v>9.4</v>
      </c>
      <c r="L3" s="11">
        <v>8.5</v>
      </c>
      <c r="M3" s="11">
        <v>9.6999999999999993</v>
      </c>
      <c r="N3" s="11">
        <v>9</v>
      </c>
      <c r="O3" s="11">
        <v>9</v>
      </c>
      <c r="P3" s="11">
        <v>10</v>
      </c>
      <c r="U3" s="30" t="str">
        <f t="shared" ref="U3:U11" si="0">C3</f>
        <v>2nd</v>
      </c>
      <c r="V3" s="31" t="str">
        <f t="shared" ref="V3:V11" si="1">A3</f>
        <v>Iraq</v>
      </c>
      <c r="W3" s="33">
        <f t="shared" ref="W3:W11" si="2">D3</f>
        <v>111.4</v>
      </c>
      <c r="X3" s="32"/>
      <c r="AB3" s="16">
        <f>AVERAGE(E3:E179)</f>
        <v>5.5346590909090905</v>
      </c>
      <c r="AC3" s="16">
        <f>AVERAGE(F3:F179)</f>
        <v>5.9284090909090912</v>
      </c>
      <c r="AD3" s="6">
        <f>AVERAGE(G3:G179)</f>
        <v>5.8159090909090931</v>
      </c>
      <c r="AE3" s="16">
        <f>AVERAGE(H3:H179)</f>
        <v>5.6028409090909079</v>
      </c>
      <c r="AF3" s="16">
        <f>AVERAGE(I3:I179)</f>
        <v>6.7812500000000053</v>
      </c>
      <c r="AG3" s="16">
        <f>AVERAGE(J3:J179)</f>
        <v>5.623295454545457</v>
      </c>
      <c r="AH3" s="16">
        <f>AVERAGE(K3:K179)</f>
        <v>6.3982954545454529</v>
      </c>
      <c r="AI3" s="16">
        <f>AVERAGE(L3:L179)</f>
        <v>5.7301136363636376</v>
      </c>
      <c r="AJ3" s="16">
        <f>AVERAGE(M3:M279)</f>
        <v>5.8982954545454556</v>
      </c>
      <c r="AK3" s="16">
        <f>AVERAGE(N3:N179)</f>
        <v>8.6159090909090725</v>
      </c>
      <c r="AL3" s="16">
        <f>AVERAGE(O3:O1179)</f>
        <v>4.9534090909090942</v>
      </c>
      <c r="AM3" s="16">
        <f>AVERAGE(W3:W179)</f>
        <v>106.53333333333333</v>
      </c>
    </row>
    <row r="4" spans="1:39" ht="26.4" x14ac:dyDescent="0.55000000000000004">
      <c r="A4" s="8" t="s">
        <v>0</v>
      </c>
      <c r="B4" s="9">
        <v>39083</v>
      </c>
      <c r="C4" s="10" t="s">
        <v>308</v>
      </c>
      <c r="D4" s="11">
        <v>111.1</v>
      </c>
      <c r="E4" s="11">
        <v>10</v>
      </c>
      <c r="F4" s="11">
        <v>10</v>
      </c>
      <c r="G4" s="11">
        <v>8.5</v>
      </c>
      <c r="H4" s="11">
        <v>9.1999999999999993</v>
      </c>
      <c r="I4" s="11">
        <v>7.5</v>
      </c>
      <c r="J4" s="11">
        <v>8</v>
      </c>
      <c r="K4" s="11">
        <v>10</v>
      </c>
      <c r="L4" s="11">
        <v>10</v>
      </c>
      <c r="M4" s="11">
        <v>9.6999999999999993</v>
      </c>
      <c r="N4" s="11">
        <v>9.1999999999999993</v>
      </c>
      <c r="O4" s="11">
        <v>9</v>
      </c>
      <c r="P4" s="11">
        <v>10</v>
      </c>
      <c r="U4" s="30" t="str">
        <f t="shared" si="0"/>
        <v>3rd</v>
      </c>
      <c r="V4" s="31" t="str">
        <f t="shared" si="1"/>
        <v>Somalia</v>
      </c>
      <c r="W4" s="33">
        <f t="shared" si="2"/>
        <v>111.1</v>
      </c>
      <c r="X4" s="32"/>
      <c r="AB4" s="10" t="s">
        <v>362</v>
      </c>
      <c r="AC4" s="10" t="s">
        <v>366</v>
      </c>
      <c r="AD4" s="10" t="s">
        <v>366</v>
      </c>
      <c r="AE4" s="10" t="s">
        <v>366</v>
      </c>
      <c r="AF4" s="10" t="s">
        <v>366</v>
      </c>
      <c r="AG4" s="10" t="s">
        <v>366</v>
      </c>
      <c r="AH4" s="10" t="s">
        <v>366</v>
      </c>
      <c r="AI4" s="10" t="s">
        <v>366</v>
      </c>
      <c r="AJ4" s="10" t="s">
        <v>366</v>
      </c>
      <c r="AK4" s="10" t="s">
        <v>366</v>
      </c>
      <c r="AL4" s="10" t="s">
        <v>366</v>
      </c>
      <c r="AM4" s="10" t="s">
        <v>366</v>
      </c>
    </row>
    <row r="5" spans="1:39" ht="26.4" x14ac:dyDescent="0.55000000000000004">
      <c r="A5" s="8" t="s">
        <v>2</v>
      </c>
      <c r="B5" s="9">
        <v>39083</v>
      </c>
      <c r="C5" s="10" t="s">
        <v>311</v>
      </c>
      <c r="D5" s="11">
        <v>110.1</v>
      </c>
      <c r="E5" s="11">
        <v>9.5</v>
      </c>
      <c r="F5" s="11">
        <v>9</v>
      </c>
      <c r="G5" s="11">
        <v>8.8000000000000007</v>
      </c>
      <c r="H5" s="11">
        <v>10</v>
      </c>
      <c r="I5" s="11">
        <v>9.5</v>
      </c>
      <c r="J5" s="11">
        <v>9.1</v>
      </c>
      <c r="K5" s="11">
        <v>9.5</v>
      </c>
      <c r="L5" s="11">
        <v>9.6</v>
      </c>
      <c r="M5" s="11">
        <v>9.6999999999999993</v>
      </c>
      <c r="N5" s="11">
        <v>9.6999999999999993</v>
      </c>
      <c r="O5" s="11">
        <v>8.6999999999999993</v>
      </c>
      <c r="P5" s="11">
        <v>7</v>
      </c>
      <c r="U5" s="30" t="str">
        <f t="shared" si="0"/>
        <v>4th</v>
      </c>
      <c r="V5" s="31" t="str">
        <f t="shared" si="1"/>
        <v>Zimbabwe</v>
      </c>
      <c r="W5" s="33">
        <f t="shared" si="2"/>
        <v>110.1</v>
      </c>
      <c r="X5" s="32"/>
      <c r="AB5" s="16">
        <f>MAX(E3:E179)</f>
        <v>10</v>
      </c>
      <c r="AC5" s="16">
        <f>MAX(F3:F179)</f>
        <v>10</v>
      </c>
      <c r="AD5" s="16">
        <f>MAX(G3:G179)</f>
        <v>10</v>
      </c>
      <c r="AE5" s="16">
        <f>MAX(H3:H179)</f>
        <v>10</v>
      </c>
      <c r="AF5" s="16">
        <f>MAX(I3:I179)</f>
        <v>9.5</v>
      </c>
      <c r="AG5" s="16">
        <f>MAX(J3:J179)</f>
        <v>9.5</v>
      </c>
      <c r="AH5" s="16">
        <f>MAX(K3:K179)</f>
        <v>10</v>
      </c>
      <c r="AI5" s="16">
        <f>MAX(L3:L179)</f>
        <v>10</v>
      </c>
      <c r="AJ5" s="16">
        <f>MAX(M3:M179)</f>
        <v>9.8000000000000007</v>
      </c>
      <c r="AK5" s="16">
        <f>MAX(N3:N179)</f>
        <v>9.6999999999999993</v>
      </c>
      <c r="AL5" s="16">
        <f>MAX(O3:O179)</f>
        <v>9.5</v>
      </c>
      <c r="AM5" s="16">
        <f>MAX(W3:W179)</f>
        <v>111.4</v>
      </c>
    </row>
    <row r="6" spans="1:39" ht="26.4" x14ac:dyDescent="0.55000000000000004">
      <c r="A6" s="8" t="s">
        <v>3</v>
      </c>
      <c r="B6" s="9">
        <v>39083</v>
      </c>
      <c r="C6" s="10" t="s">
        <v>310</v>
      </c>
      <c r="D6" s="11">
        <v>108.8</v>
      </c>
      <c r="E6" s="11">
        <v>9.6</v>
      </c>
      <c r="F6" s="11">
        <v>9.6999999999999993</v>
      </c>
      <c r="G6" s="11">
        <v>9.5</v>
      </c>
      <c r="H6" s="11">
        <v>8.3000000000000007</v>
      </c>
      <c r="I6" s="11">
        <v>9</v>
      </c>
      <c r="J6" s="11">
        <v>7.9</v>
      </c>
      <c r="K6" s="11">
        <v>9.5</v>
      </c>
      <c r="L6" s="11">
        <v>9.1</v>
      </c>
      <c r="M6" s="11">
        <v>9.1999999999999993</v>
      </c>
      <c r="N6" s="11">
        <v>9.1</v>
      </c>
      <c r="O6" s="11">
        <v>8.9</v>
      </c>
      <c r="P6" s="11">
        <v>9</v>
      </c>
      <c r="U6" s="30" t="str">
        <f t="shared" si="0"/>
        <v>5th</v>
      </c>
      <c r="V6" s="31" t="str">
        <f t="shared" si="1"/>
        <v>Chad</v>
      </c>
      <c r="W6" s="33">
        <f t="shared" si="2"/>
        <v>108.8</v>
      </c>
      <c r="X6" s="32"/>
      <c r="AB6" s="10" t="s">
        <v>363</v>
      </c>
      <c r="AC6" s="10" t="s">
        <v>363</v>
      </c>
      <c r="AD6" s="10" t="s">
        <v>363</v>
      </c>
      <c r="AE6" s="10" t="s">
        <v>363</v>
      </c>
      <c r="AF6" s="10" t="s">
        <v>363</v>
      </c>
      <c r="AG6" s="10" t="s">
        <v>363</v>
      </c>
      <c r="AH6" s="10" t="s">
        <v>363</v>
      </c>
      <c r="AI6" s="10" t="s">
        <v>363</v>
      </c>
      <c r="AJ6" s="10" t="s">
        <v>363</v>
      </c>
      <c r="AK6" s="10" t="s">
        <v>363</v>
      </c>
      <c r="AL6" s="10" t="s">
        <v>363</v>
      </c>
      <c r="AM6" s="10" t="s">
        <v>363</v>
      </c>
    </row>
    <row r="7" spans="1:39" ht="31.8" x14ac:dyDescent="0.55000000000000004">
      <c r="A7" s="8" t="s">
        <v>5</v>
      </c>
      <c r="B7" s="9">
        <v>39083</v>
      </c>
      <c r="C7" s="10" t="s">
        <v>188</v>
      </c>
      <c r="D7" s="11">
        <v>107.3</v>
      </c>
      <c r="E7" s="11">
        <v>9.6</v>
      </c>
      <c r="F7" s="11">
        <v>9.3000000000000007</v>
      </c>
      <c r="G7" s="11">
        <v>9.8000000000000007</v>
      </c>
      <c r="H7" s="11">
        <v>8.9</v>
      </c>
      <c r="I7" s="11">
        <v>8</v>
      </c>
      <c r="J7" s="11">
        <v>8.4</v>
      </c>
      <c r="K7" s="11">
        <v>9.5</v>
      </c>
      <c r="L7" s="11">
        <v>7.9</v>
      </c>
      <c r="M7" s="11">
        <v>9.1999999999999993</v>
      </c>
      <c r="N7" s="11">
        <v>8.6</v>
      </c>
      <c r="O7" s="11">
        <v>8.3000000000000007</v>
      </c>
      <c r="P7" s="11">
        <v>9.8000000000000007</v>
      </c>
      <c r="U7" s="30" t="str">
        <f t="shared" si="0"/>
        <v>6th</v>
      </c>
      <c r="V7" s="31" t="str">
        <f t="shared" si="1"/>
        <v>Cote d'Ivoire</v>
      </c>
      <c r="W7" s="33">
        <f t="shared" si="2"/>
        <v>107.3</v>
      </c>
      <c r="AB7" s="16">
        <f>MIN(E3:E179)</f>
        <v>0.9</v>
      </c>
      <c r="AC7" s="16">
        <f>MIN(F3:F179)</f>
        <v>0.7</v>
      </c>
      <c r="AD7" s="16">
        <f>MIN(G3:G179)</f>
        <v>1</v>
      </c>
      <c r="AE7" s="16">
        <f>MIN(H3:H179)</f>
        <v>1.3</v>
      </c>
      <c r="AF7" s="16">
        <f>MIN(I3:I179)</f>
        <v>1.9</v>
      </c>
      <c r="AG7" s="16">
        <f>MIN(J3:J179)</f>
        <v>1</v>
      </c>
      <c r="AH7" s="16">
        <f>MIN(K3:K179)</f>
        <v>0.9</v>
      </c>
      <c r="AI7" s="16">
        <f>MIN(L3:L179)</f>
        <v>1.2</v>
      </c>
      <c r="AJ7" s="16">
        <f>MIN(M3:M179)</f>
        <v>1.4</v>
      </c>
      <c r="AK7" s="16">
        <f>MIN(N3:N179)</f>
        <v>7.8</v>
      </c>
      <c r="AL7" s="16">
        <f>MIN(O3:O179)</f>
        <v>0.9</v>
      </c>
      <c r="AM7" s="16">
        <f>MIN(W3:W179)</f>
        <v>101</v>
      </c>
    </row>
    <row r="8" spans="1:39" ht="46.2" x14ac:dyDescent="0.55000000000000004">
      <c r="A8" s="12" t="s">
        <v>184</v>
      </c>
      <c r="B8" s="9">
        <v>39083</v>
      </c>
      <c r="C8" s="10" t="s">
        <v>187</v>
      </c>
      <c r="D8" s="11">
        <v>105.5</v>
      </c>
      <c r="E8" s="11">
        <v>9.6</v>
      </c>
      <c r="F8" s="11">
        <v>8.6</v>
      </c>
      <c r="G8" s="11">
        <v>8.8000000000000007</v>
      </c>
      <c r="H8" s="11">
        <v>8</v>
      </c>
      <c r="I8" s="11">
        <v>9.1</v>
      </c>
      <c r="J8" s="11">
        <v>7.6</v>
      </c>
      <c r="K8" s="11">
        <v>8.3000000000000007</v>
      </c>
      <c r="L8" s="11">
        <v>8.6999999999999993</v>
      </c>
      <c r="M8" s="11">
        <v>8.9</v>
      </c>
      <c r="N8" s="11">
        <v>9.4</v>
      </c>
      <c r="O8" s="11">
        <v>8.9</v>
      </c>
      <c r="P8" s="11">
        <v>9.6</v>
      </c>
      <c r="U8" s="30" t="str">
        <f t="shared" si="0"/>
        <v>7th</v>
      </c>
      <c r="V8" s="31" t="str">
        <f t="shared" si="1"/>
        <v>Congo Democratic Republic</v>
      </c>
      <c r="W8" s="33">
        <f t="shared" si="2"/>
        <v>105.5</v>
      </c>
      <c r="AB8" s="40" t="s">
        <v>364</v>
      </c>
      <c r="AC8" s="40" t="s">
        <v>364</v>
      </c>
      <c r="AD8" s="40" t="s">
        <v>364</v>
      </c>
      <c r="AE8" s="10"/>
      <c r="AF8" s="10"/>
      <c r="AG8" s="10"/>
      <c r="AH8" s="10"/>
      <c r="AI8" s="10"/>
      <c r="AJ8" s="10"/>
      <c r="AK8" s="10"/>
      <c r="AL8" s="10"/>
      <c r="AM8" s="10"/>
    </row>
    <row r="9" spans="1:39" ht="26.4" x14ac:dyDescent="0.55000000000000004">
      <c r="A9" s="12" t="s">
        <v>346</v>
      </c>
      <c r="B9" s="9">
        <v>39083</v>
      </c>
      <c r="C9" s="10" t="s">
        <v>186</v>
      </c>
      <c r="D9" s="11">
        <v>102.3</v>
      </c>
      <c r="E9" s="11">
        <v>9</v>
      </c>
      <c r="F9" s="11">
        <v>8.5</v>
      </c>
      <c r="G9" s="11">
        <v>9.1</v>
      </c>
      <c r="H9" s="11">
        <v>8.3000000000000007</v>
      </c>
      <c r="I9" s="11">
        <v>8</v>
      </c>
      <c r="J9" s="11">
        <v>7</v>
      </c>
      <c r="K9" s="11">
        <v>8.8000000000000007</v>
      </c>
      <c r="L9" s="11">
        <v>8</v>
      </c>
      <c r="M9" s="11">
        <v>8.1999999999999993</v>
      </c>
      <c r="N9" s="11">
        <v>8.5</v>
      </c>
      <c r="O9" s="11">
        <v>8.9</v>
      </c>
      <c r="P9" s="11">
        <v>10</v>
      </c>
      <c r="U9" s="30" t="str">
        <f t="shared" si="0"/>
        <v>8th</v>
      </c>
      <c r="V9" s="31" t="str">
        <f t="shared" si="1"/>
        <v>Afghanistan</v>
      </c>
      <c r="W9" s="33">
        <f t="shared" si="2"/>
        <v>102.3</v>
      </c>
      <c r="AB9" s="10">
        <f>COUNTIF(E3:E179,"&gt;=8")</f>
        <v>28</v>
      </c>
      <c r="AC9" s="10">
        <f>COUNTIF(F3:F179,"&gt;=8")</f>
        <v>43</v>
      </c>
      <c r="AD9" s="10">
        <f>COUNTIF(G3:G179,"&gt;=8")</f>
        <v>28</v>
      </c>
      <c r="AE9" s="10"/>
      <c r="AF9" s="10"/>
      <c r="AG9" s="10"/>
      <c r="AH9" s="10"/>
      <c r="AI9" s="10"/>
      <c r="AJ9" s="10"/>
      <c r="AK9" s="10"/>
      <c r="AL9" s="10"/>
      <c r="AM9" s="10"/>
    </row>
    <row r="10" spans="1:39" ht="28.8" x14ac:dyDescent="0.55000000000000004">
      <c r="A10" s="8" t="s">
        <v>8</v>
      </c>
      <c r="B10" s="9">
        <v>39083</v>
      </c>
      <c r="C10" s="10" t="s">
        <v>185</v>
      </c>
      <c r="D10" s="11">
        <v>101.3</v>
      </c>
      <c r="E10" s="11">
        <v>8.1</v>
      </c>
      <c r="F10" s="11">
        <v>9</v>
      </c>
      <c r="G10" s="11">
        <v>8.1</v>
      </c>
      <c r="H10" s="11">
        <v>8.5</v>
      </c>
      <c r="I10" s="11">
        <v>8.5</v>
      </c>
      <c r="J10" s="11">
        <v>8.3000000000000007</v>
      </c>
      <c r="K10" s="11">
        <v>9.6</v>
      </c>
      <c r="L10" s="11">
        <v>8.9</v>
      </c>
      <c r="M10" s="11">
        <v>8.6</v>
      </c>
      <c r="N10" s="11">
        <v>7.8</v>
      </c>
      <c r="O10" s="11">
        <v>7.4</v>
      </c>
      <c r="P10" s="11">
        <v>8.5</v>
      </c>
      <c r="U10" s="30" t="str">
        <f t="shared" si="0"/>
        <v>9th</v>
      </c>
      <c r="V10" s="31" t="str">
        <f t="shared" si="1"/>
        <v>Guinea</v>
      </c>
      <c r="W10" s="33">
        <f t="shared" si="2"/>
        <v>101.3</v>
      </c>
      <c r="AB10" s="40" t="s">
        <v>365</v>
      </c>
      <c r="AC10" s="40" t="s">
        <v>365</v>
      </c>
      <c r="AD10" s="40" t="s">
        <v>365</v>
      </c>
      <c r="AE10" s="10"/>
      <c r="AF10" s="10"/>
      <c r="AG10" s="10"/>
      <c r="AH10" s="10"/>
      <c r="AI10" s="10"/>
      <c r="AJ10" s="10"/>
      <c r="AK10" s="10"/>
      <c r="AL10" s="10"/>
      <c r="AM10" s="10"/>
    </row>
    <row r="11" spans="1:39" ht="46.2" x14ac:dyDescent="0.55000000000000004">
      <c r="A11" s="8" t="s">
        <v>7</v>
      </c>
      <c r="B11" s="9">
        <v>39083</v>
      </c>
      <c r="C11" s="10" t="s">
        <v>189</v>
      </c>
      <c r="D11" s="11">
        <v>101</v>
      </c>
      <c r="E11" s="11">
        <v>8.9</v>
      </c>
      <c r="F11" s="11">
        <v>9.3000000000000007</v>
      </c>
      <c r="G11" s="11">
        <v>8.8000000000000007</v>
      </c>
      <c r="H11" s="11">
        <v>8.4</v>
      </c>
      <c r="I11" s="11">
        <v>8.6</v>
      </c>
      <c r="J11" s="11">
        <v>5.5</v>
      </c>
      <c r="K11" s="11">
        <v>9</v>
      </c>
      <c r="L11" s="11">
        <v>8</v>
      </c>
      <c r="M11" s="11">
        <v>8.1999999999999993</v>
      </c>
      <c r="N11" s="11">
        <v>8.9</v>
      </c>
      <c r="O11" s="11">
        <v>8.4</v>
      </c>
      <c r="P11" s="11">
        <v>9</v>
      </c>
      <c r="U11" s="30" t="str">
        <f t="shared" si="0"/>
        <v>10th</v>
      </c>
      <c r="V11" s="31" t="str">
        <f t="shared" si="1"/>
        <v>Central African Republic</v>
      </c>
      <c r="W11" s="33">
        <f t="shared" si="2"/>
        <v>101</v>
      </c>
      <c r="AB11" s="7">
        <f>COUNTIF(E3:E179,"&lt;5")</f>
        <v>56</v>
      </c>
      <c r="AC11" s="7">
        <f>COUNTIF(F3:F179,"&lt;5")</f>
        <v>57</v>
      </c>
      <c r="AD11" s="7">
        <f>COUNTIF(G3:G179,"&lt;5")</f>
        <v>53</v>
      </c>
    </row>
    <row r="12" spans="1:39" x14ac:dyDescent="0.3">
      <c r="A12" s="8" t="s">
        <v>10</v>
      </c>
      <c r="B12" s="9">
        <v>39083</v>
      </c>
      <c r="C12" s="10" t="s">
        <v>190</v>
      </c>
      <c r="D12" s="11">
        <v>100.9</v>
      </c>
      <c r="E12" s="11">
        <v>9.3000000000000007</v>
      </c>
      <c r="F12" s="11">
        <v>9.3000000000000007</v>
      </c>
      <c r="G12" s="11">
        <v>8</v>
      </c>
      <c r="H12" s="11">
        <v>8.4</v>
      </c>
      <c r="I12" s="11">
        <v>8.1999999999999993</v>
      </c>
      <c r="J12" s="11">
        <v>8</v>
      </c>
      <c r="K12" s="11">
        <v>9.1999999999999993</v>
      </c>
      <c r="L12" s="11">
        <v>9</v>
      </c>
      <c r="M12" s="11">
        <v>9.1</v>
      </c>
      <c r="N12" s="11">
        <v>8.6</v>
      </c>
      <c r="O12" s="11">
        <v>4.2</v>
      </c>
      <c r="P12" s="11">
        <v>9.6</v>
      </c>
      <c r="AB12" s="34"/>
      <c r="AC12" s="34"/>
      <c r="AD12" s="6"/>
      <c r="AE12" s="34"/>
      <c r="AF12" s="34"/>
      <c r="AG12" s="34"/>
      <c r="AH12" s="34"/>
      <c r="AI12" s="34"/>
      <c r="AJ12" s="34"/>
      <c r="AK12" s="34"/>
      <c r="AL12" s="34"/>
      <c r="AM12" s="34"/>
    </row>
    <row r="13" spans="1:39" x14ac:dyDescent="0.3">
      <c r="A13" s="8" t="s">
        <v>6</v>
      </c>
      <c r="B13" s="9">
        <v>39083</v>
      </c>
      <c r="C13" s="10" t="s">
        <v>258</v>
      </c>
      <c r="D13" s="11">
        <v>100.1</v>
      </c>
      <c r="E13" s="11">
        <v>9.5</v>
      </c>
      <c r="F13" s="11">
        <v>9.5</v>
      </c>
      <c r="G13" s="11">
        <v>9</v>
      </c>
      <c r="H13" s="11">
        <v>5.8</v>
      </c>
      <c r="I13" s="11">
        <v>8.5</v>
      </c>
      <c r="J13" s="11">
        <v>8.1</v>
      </c>
      <c r="K13" s="11">
        <v>8.6999999999999993</v>
      </c>
      <c r="L13" s="11">
        <v>7.1</v>
      </c>
      <c r="M13" s="11">
        <v>8.6999999999999993</v>
      </c>
      <c r="N13" s="11">
        <v>8.6</v>
      </c>
      <c r="O13" s="11">
        <v>8.5</v>
      </c>
      <c r="P13" s="11">
        <v>8.5</v>
      </c>
    </row>
    <row r="14" spans="1:39" x14ac:dyDescent="0.3">
      <c r="A14" s="8" t="s">
        <v>11</v>
      </c>
      <c r="B14" s="9">
        <v>39083</v>
      </c>
      <c r="C14" s="10" t="s">
        <v>309</v>
      </c>
      <c r="D14" s="11">
        <v>97.7</v>
      </c>
      <c r="E14" s="11">
        <v>8.3000000000000007</v>
      </c>
      <c r="F14" s="11">
        <v>7.9</v>
      </c>
      <c r="G14" s="11">
        <v>7.2</v>
      </c>
      <c r="H14" s="11">
        <v>9.6</v>
      </c>
      <c r="I14" s="11">
        <v>8.8000000000000007</v>
      </c>
      <c r="J14" s="11">
        <v>5</v>
      </c>
      <c r="K14" s="11">
        <v>9.8000000000000007</v>
      </c>
      <c r="L14" s="11">
        <v>9.5</v>
      </c>
      <c r="M14" s="11">
        <v>9.6999999999999993</v>
      </c>
      <c r="N14" s="11">
        <v>8.6</v>
      </c>
      <c r="O14" s="11">
        <v>6</v>
      </c>
      <c r="P14" s="11">
        <v>8.5</v>
      </c>
      <c r="AB14" s="34"/>
      <c r="AC14" s="34"/>
      <c r="AD14" s="34"/>
      <c r="AE14" s="34"/>
      <c r="AF14" s="34"/>
      <c r="AG14" s="34"/>
      <c r="AH14" s="34"/>
      <c r="AI14" s="34"/>
      <c r="AJ14" s="34"/>
      <c r="AK14" s="34"/>
      <c r="AL14" s="34"/>
      <c r="AM14" s="34"/>
    </row>
    <row r="15" spans="1:39" x14ac:dyDescent="0.3">
      <c r="A15" s="8" t="s">
        <v>166</v>
      </c>
      <c r="B15" s="9">
        <v>39083</v>
      </c>
      <c r="C15" s="10" t="s">
        <v>320</v>
      </c>
      <c r="D15" s="11">
        <v>97</v>
      </c>
      <c r="E15" s="11">
        <v>9</v>
      </c>
      <c r="F15" s="11">
        <v>8.1999999999999993</v>
      </c>
      <c r="G15" s="11">
        <v>9.1</v>
      </c>
      <c r="H15" s="11">
        <v>7.6</v>
      </c>
      <c r="I15" s="11">
        <v>8.9</v>
      </c>
      <c r="J15" s="11">
        <v>6</v>
      </c>
      <c r="K15" s="11">
        <v>9.1</v>
      </c>
      <c r="L15" s="11">
        <v>8.3000000000000007</v>
      </c>
      <c r="M15" s="11">
        <v>9.8000000000000007</v>
      </c>
      <c r="N15" s="11">
        <v>8.6</v>
      </c>
      <c r="O15" s="11">
        <v>8.5</v>
      </c>
      <c r="P15" s="11">
        <v>8.5</v>
      </c>
    </row>
    <row r="16" spans="1:39" x14ac:dyDescent="0.3">
      <c r="A16" s="12" t="s">
        <v>12</v>
      </c>
      <c r="B16" s="9">
        <v>39083</v>
      </c>
      <c r="C16" s="10" t="s">
        <v>297</v>
      </c>
      <c r="D16" s="11">
        <v>96.4</v>
      </c>
      <c r="E16" s="11">
        <v>8.3000000000000007</v>
      </c>
      <c r="F16" s="11">
        <v>7.8</v>
      </c>
      <c r="G16" s="11">
        <v>8.5</v>
      </c>
      <c r="H16" s="11">
        <v>7.5</v>
      </c>
      <c r="I16" s="11">
        <v>8.5</v>
      </c>
      <c r="J16" s="11">
        <v>6</v>
      </c>
      <c r="K16" s="11">
        <v>8.5</v>
      </c>
      <c r="L16" s="11">
        <v>8.1999999999999993</v>
      </c>
      <c r="M16" s="11">
        <v>8.1999999999999993</v>
      </c>
      <c r="N16" s="11">
        <v>8.6</v>
      </c>
      <c r="O16" s="11">
        <v>9.4</v>
      </c>
      <c r="P16" s="11">
        <v>8.5</v>
      </c>
      <c r="AB16" s="34"/>
      <c r="AC16" s="34"/>
      <c r="AD16" s="34"/>
      <c r="AE16" s="34"/>
      <c r="AF16" s="34"/>
      <c r="AG16" s="34"/>
      <c r="AH16" s="34"/>
      <c r="AI16" s="34"/>
      <c r="AJ16" s="34"/>
      <c r="AK16" s="34"/>
      <c r="AL16" s="34"/>
      <c r="AM16" s="34"/>
    </row>
    <row r="17" spans="1:30" x14ac:dyDescent="0.3">
      <c r="A17" s="8" t="s">
        <v>9</v>
      </c>
      <c r="B17" s="9">
        <v>39083</v>
      </c>
      <c r="C17" s="10" t="s">
        <v>259</v>
      </c>
      <c r="D17" s="11">
        <v>95.9</v>
      </c>
      <c r="E17" s="11">
        <v>8</v>
      </c>
      <c r="F17" s="11">
        <v>9.5</v>
      </c>
      <c r="G17" s="11">
        <v>9.6</v>
      </c>
      <c r="H17" s="11">
        <v>6.9</v>
      </c>
      <c r="I17" s="11">
        <v>9</v>
      </c>
      <c r="J17" s="11">
        <v>8.4</v>
      </c>
      <c r="K17" s="11">
        <v>9</v>
      </c>
      <c r="L17" s="11">
        <v>7.4</v>
      </c>
      <c r="M17" s="11">
        <v>7.8</v>
      </c>
      <c r="N17" s="11">
        <v>8.6</v>
      </c>
      <c r="O17" s="11">
        <v>5.8</v>
      </c>
      <c r="P17" s="11">
        <v>8.5</v>
      </c>
      <c r="AB17" s="40"/>
      <c r="AC17" s="40"/>
      <c r="AD17" s="40"/>
    </row>
    <row r="18" spans="1:30" x14ac:dyDescent="0.3">
      <c r="A18" s="8" t="s">
        <v>14</v>
      </c>
      <c r="B18" s="9">
        <v>39083</v>
      </c>
      <c r="C18" s="10" t="s">
        <v>261</v>
      </c>
      <c r="D18" s="11">
        <v>95.6</v>
      </c>
      <c r="E18" s="11">
        <v>9.1999999999999993</v>
      </c>
      <c r="F18" s="11">
        <v>9.5</v>
      </c>
      <c r="G18" s="11">
        <v>9.5</v>
      </c>
      <c r="H18" s="11">
        <v>5.4</v>
      </c>
      <c r="I18" s="11">
        <v>9.1</v>
      </c>
      <c r="J18" s="11">
        <v>8.5</v>
      </c>
      <c r="K18" s="11">
        <v>9.1</v>
      </c>
      <c r="L18" s="11">
        <v>8.6999999999999993</v>
      </c>
      <c r="M18" s="11">
        <v>7.1</v>
      </c>
      <c r="N18" s="11">
        <v>8.6</v>
      </c>
      <c r="O18" s="11">
        <v>5.6</v>
      </c>
      <c r="P18" s="11">
        <v>8.5</v>
      </c>
    </row>
    <row r="19" spans="1:30" x14ac:dyDescent="0.3">
      <c r="A19" s="8" t="s">
        <v>13</v>
      </c>
      <c r="B19" s="9">
        <v>39083</v>
      </c>
      <c r="C19" s="10" t="s">
        <v>257</v>
      </c>
      <c r="D19" s="11">
        <v>95.3</v>
      </c>
      <c r="E19" s="11">
        <v>7.5</v>
      </c>
      <c r="F19" s="11">
        <v>8.9</v>
      </c>
      <c r="G19" s="11">
        <v>7.8</v>
      </c>
      <c r="H19" s="11">
        <v>8</v>
      </c>
      <c r="I19" s="11">
        <v>8.6</v>
      </c>
      <c r="J19" s="11">
        <v>7.5</v>
      </c>
      <c r="K19" s="11">
        <v>7.9</v>
      </c>
      <c r="L19" s="11">
        <v>7</v>
      </c>
      <c r="M19" s="11">
        <v>8.5</v>
      </c>
      <c r="N19" s="11">
        <v>8.6</v>
      </c>
      <c r="O19" s="11">
        <v>7.9</v>
      </c>
      <c r="P19" s="11">
        <v>8.5</v>
      </c>
      <c r="AB19" s="40"/>
      <c r="AC19" s="40"/>
      <c r="AD19" s="40"/>
    </row>
    <row r="20" spans="1:30" x14ac:dyDescent="0.3">
      <c r="A20" s="8" t="s">
        <v>20</v>
      </c>
      <c r="B20" s="9">
        <v>39083</v>
      </c>
      <c r="C20" s="10" t="s">
        <v>260</v>
      </c>
      <c r="D20" s="11">
        <v>95.2</v>
      </c>
      <c r="E20" s="11">
        <v>6.8</v>
      </c>
      <c r="F20" s="11">
        <v>7.5</v>
      </c>
      <c r="G20" s="11">
        <v>6.7</v>
      </c>
      <c r="H20" s="11">
        <v>8.1999999999999993</v>
      </c>
      <c r="I20" s="11">
        <v>8.8000000000000007</v>
      </c>
      <c r="J20" s="11">
        <v>6.7</v>
      </c>
      <c r="K20" s="11">
        <v>7.1</v>
      </c>
      <c r="L20" s="11">
        <v>8.9</v>
      </c>
      <c r="M20" s="11">
        <v>7.5</v>
      </c>
      <c r="N20" s="11">
        <v>8.6</v>
      </c>
      <c r="O20" s="11">
        <v>8.9</v>
      </c>
      <c r="P20" s="11">
        <v>8.5</v>
      </c>
    </row>
    <row r="21" spans="1:30" x14ac:dyDescent="0.3">
      <c r="A21" s="8" t="s">
        <v>21</v>
      </c>
      <c r="B21" s="9">
        <v>39083</v>
      </c>
      <c r="C21" s="10" t="s">
        <v>298</v>
      </c>
      <c r="D21" s="11">
        <v>94.9</v>
      </c>
      <c r="E21" s="11">
        <v>9</v>
      </c>
      <c r="F21" s="11">
        <v>8.8000000000000007</v>
      </c>
      <c r="G21" s="11">
        <v>7.1</v>
      </c>
      <c r="H21" s="11">
        <v>8.5</v>
      </c>
      <c r="I21" s="11">
        <v>6.5</v>
      </c>
      <c r="J21" s="11">
        <v>5.3</v>
      </c>
      <c r="K21" s="11">
        <v>9.5</v>
      </c>
      <c r="L21" s="11">
        <v>7.9</v>
      </c>
      <c r="M21" s="11">
        <v>6.9</v>
      </c>
      <c r="N21" s="11">
        <v>8.6</v>
      </c>
      <c r="O21" s="11">
        <v>8.5</v>
      </c>
      <c r="P21" s="11">
        <v>8.5</v>
      </c>
    </row>
    <row r="22" spans="1:30" x14ac:dyDescent="0.3">
      <c r="A22" s="8" t="s">
        <v>19</v>
      </c>
      <c r="B22" s="9">
        <v>39083</v>
      </c>
      <c r="C22" s="10" t="s">
        <v>292</v>
      </c>
      <c r="D22" s="11">
        <v>93.6</v>
      </c>
      <c r="E22" s="11">
        <v>8.3000000000000007</v>
      </c>
      <c r="F22" s="11">
        <v>8.5</v>
      </c>
      <c r="G22" s="11">
        <v>8.9</v>
      </c>
      <c r="H22" s="11">
        <v>8.1999999999999993</v>
      </c>
      <c r="I22" s="11">
        <v>9.1999999999999993</v>
      </c>
      <c r="J22" s="11">
        <v>6.1</v>
      </c>
      <c r="K22" s="11">
        <v>8.5</v>
      </c>
      <c r="L22" s="11">
        <v>6.6</v>
      </c>
      <c r="M22" s="11">
        <v>8.8000000000000007</v>
      </c>
      <c r="N22" s="11">
        <v>8.6</v>
      </c>
      <c r="O22" s="11">
        <v>5.2</v>
      </c>
      <c r="P22" s="11">
        <v>8.5</v>
      </c>
    </row>
    <row r="23" spans="1:30" x14ac:dyDescent="0.3">
      <c r="A23" s="8" t="s">
        <v>22</v>
      </c>
      <c r="B23" s="9">
        <v>39083</v>
      </c>
      <c r="C23" s="10" t="s">
        <v>303</v>
      </c>
      <c r="D23" s="11">
        <v>93.5</v>
      </c>
      <c r="E23" s="11">
        <v>8.9</v>
      </c>
      <c r="F23" s="11">
        <v>9.1999999999999993</v>
      </c>
      <c r="G23" s="11">
        <v>7.1</v>
      </c>
      <c r="H23" s="11">
        <v>7.5</v>
      </c>
      <c r="I23" s="11">
        <v>8.6</v>
      </c>
      <c r="J23" s="11">
        <v>7.1</v>
      </c>
      <c r="K23" s="11">
        <v>9.1999999999999993</v>
      </c>
      <c r="L23" s="11">
        <v>6.8</v>
      </c>
      <c r="M23" s="11">
        <v>9</v>
      </c>
      <c r="N23" s="11">
        <v>8.6</v>
      </c>
      <c r="O23" s="11">
        <v>5.4</v>
      </c>
      <c r="P23" s="11">
        <v>8.5</v>
      </c>
    </row>
    <row r="24" spans="1:30" x14ac:dyDescent="0.3">
      <c r="A24" s="8" t="s">
        <v>26</v>
      </c>
      <c r="B24" s="9">
        <v>39083</v>
      </c>
      <c r="C24" s="10" t="s">
        <v>299</v>
      </c>
      <c r="D24" s="11">
        <v>93.4</v>
      </c>
      <c r="E24" s="11">
        <v>6.5</v>
      </c>
      <c r="F24" s="11">
        <v>7.7</v>
      </c>
      <c r="G24" s="11">
        <v>7.1</v>
      </c>
      <c r="H24" s="11">
        <v>8.6999999999999993</v>
      </c>
      <c r="I24" s="11">
        <v>8.6999999999999993</v>
      </c>
      <c r="J24" s="11">
        <v>8.6999999999999993</v>
      </c>
      <c r="K24" s="11">
        <v>8</v>
      </c>
      <c r="L24" s="11">
        <v>8</v>
      </c>
      <c r="M24" s="11">
        <v>7</v>
      </c>
      <c r="N24" s="11">
        <v>8.6</v>
      </c>
      <c r="O24" s="11">
        <v>7.4</v>
      </c>
      <c r="P24" s="11">
        <v>8.5</v>
      </c>
    </row>
    <row r="25" spans="1:30" x14ac:dyDescent="0.3">
      <c r="A25" s="8" t="s">
        <v>17</v>
      </c>
      <c r="B25" s="9">
        <v>39083</v>
      </c>
      <c r="C25" s="10" t="s">
        <v>256</v>
      </c>
      <c r="D25" s="11">
        <v>93.2</v>
      </c>
      <c r="E25" s="11">
        <v>8</v>
      </c>
      <c r="F25" s="11">
        <v>9</v>
      </c>
      <c r="G25" s="11">
        <v>7.3</v>
      </c>
      <c r="H25" s="11">
        <v>8</v>
      </c>
      <c r="I25" s="11">
        <v>8.6999999999999993</v>
      </c>
      <c r="J25" s="11">
        <v>7.2</v>
      </c>
      <c r="K25" s="11">
        <v>7.8</v>
      </c>
      <c r="L25" s="11">
        <v>8.1</v>
      </c>
      <c r="M25" s="11">
        <v>7.2</v>
      </c>
      <c r="N25" s="11">
        <v>8.6</v>
      </c>
      <c r="O25" s="11">
        <v>6.7</v>
      </c>
      <c r="P25" s="11">
        <v>8.5</v>
      </c>
    </row>
    <row r="26" spans="1:30" x14ac:dyDescent="0.3">
      <c r="A26" s="8" t="s">
        <v>16</v>
      </c>
      <c r="B26" s="9">
        <v>39083</v>
      </c>
      <c r="C26" s="10" t="s">
        <v>255</v>
      </c>
      <c r="D26" s="11">
        <v>93.1</v>
      </c>
      <c r="E26" s="11">
        <v>8.6999999999999993</v>
      </c>
      <c r="F26" s="11">
        <v>9.1999999999999993</v>
      </c>
      <c r="G26" s="11">
        <v>9.5</v>
      </c>
      <c r="H26" s="11">
        <v>6</v>
      </c>
      <c r="I26" s="11">
        <v>8.1999999999999993</v>
      </c>
      <c r="J26" s="11">
        <v>6.9</v>
      </c>
      <c r="K26" s="11">
        <v>8.9</v>
      </c>
      <c r="L26" s="11">
        <v>6.5</v>
      </c>
      <c r="M26" s="11">
        <v>7.5</v>
      </c>
      <c r="N26" s="11">
        <v>8.6</v>
      </c>
      <c r="O26" s="11">
        <v>8.6</v>
      </c>
      <c r="P26" s="11">
        <v>8.5</v>
      </c>
    </row>
    <row r="27" spans="1:30" ht="28.8" x14ac:dyDescent="0.3">
      <c r="A27" s="12" t="s">
        <v>183</v>
      </c>
      <c r="B27" s="9">
        <v>39083</v>
      </c>
      <c r="C27" s="10" t="s">
        <v>285</v>
      </c>
      <c r="D27" s="11">
        <v>93</v>
      </c>
      <c r="E27" s="11">
        <v>7.9</v>
      </c>
      <c r="F27" s="11">
        <v>7.2</v>
      </c>
      <c r="G27" s="11">
        <v>6.8</v>
      </c>
      <c r="H27" s="11">
        <v>8.3000000000000007</v>
      </c>
      <c r="I27" s="11">
        <v>8.1</v>
      </c>
      <c r="J27" s="11">
        <v>6.1</v>
      </c>
      <c r="K27" s="11">
        <v>8.5</v>
      </c>
      <c r="L27" s="11">
        <v>8.8000000000000007</v>
      </c>
      <c r="M27" s="11">
        <v>7.9</v>
      </c>
      <c r="N27" s="11">
        <v>8.6</v>
      </c>
      <c r="O27" s="11">
        <v>7.3</v>
      </c>
      <c r="P27" s="11">
        <v>8.5</v>
      </c>
    </row>
    <row r="28" spans="1:30" x14ac:dyDescent="0.3">
      <c r="A28" s="8" t="s">
        <v>29</v>
      </c>
      <c r="B28" s="9">
        <v>39083</v>
      </c>
      <c r="C28" s="10" t="s">
        <v>305</v>
      </c>
      <c r="D28" s="11">
        <v>92.9</v>
      </c>
      <c r="E28" s="11">
        <v>6.9</v>
      </c>
      <c r="F28" s="11">
        <v>8.1</v>
      </c>
      <c r="G28" s="11">
        <v>6.5</v>
      </c>
      <c r="H28" s="11">
        <v>8.4</v>
      </c>
      <c r="I28" s="11">
        <v>8.3000000000000007</v>
      </c>
      <c r="J28" s="11">
        <v>6.8</v>
      </c>
      <c r="K28" s="11">
        <v>7</v>
      </c>
      <c r="L28" s="11">
        <v>8.6</v>
      </c>
      <c r="M28" s="11">
        <v>6.7</v>
      </c>
      <c r="N28" s="11">
        <v>8.6</v>
      </c>
      <c r="O28" s="11">
        <v>8.5</v>
      </c>
      <c r="P28" s="11">
        <v>8.5</v>
      </c>
    </row>
    <row r="29" spans="1:30" x14ac:dyDescent="0.3">
      <c r="A29" s="8" t="s">
        <v>15</v>
      </c>
      <c r="B29" s="9">
        <v>39083</v>
      </c>
      <c r="C29" s="10" t="s">
        <v>304</v>
      </c>
      <c r="D29" s="11">
        <v>92.4</v>
      </c>
      <c r="E29" s="11">
        <v>9</v>
      </c>
      <c r="F29" s="11">
        <v>8.8000000000000007</v>
      </c>
      <c r="G29" s="11">
        <v>9</v>
      </c>
      <c r="H29" s="11">
        <v>6.3</v>
      </c>
      <c r="I29" s="11">
        <v>7.1</v>
      </c>
      <c r="J29" s="11">
        <v>7</v>
      </c>
      <c r="K29" s="11">
        <v>7.3</v>
      </c>
      <c r="L29" s="11">
        <v>6.4</v>
      </c>
      <c r="M29" s="11">
        <v>7</v>
      </c>
      <c r="N29" s="11">
        <v>8.6</v>
      </c>
      <c r="O29" s="11">
        <v>8.6</v>
      </c>
      <c r="P29" s="11">
        <v>8.5</v>
      </c>
    </row>
    <row r="30" spans="1:30" x14ac:dyDescent="0.3">
      <c r="A30" s="8" t="s">
        <v>24</v>
      </c>
      <c r="B30" s="9">
        <v>39083</v>
      </c>
      <c r="C30" s="10" t="s">
        <v>254</v>
      </c>
      <c r="D30" s="11">
        <v>92.2</v>
      </c>
      <c r="E30" s="11">
        <v>5.4</v>
      </c>
      <c r="F30" s="11">
        <v>7.5</v>
      </c>
      <c r="G30" s="11">
        <v>6</v>
      </c>
      <c r="H30" s="11">
        <v>9.1999999999999993</v>
      </c>
      <c r="I30" s="11">
        <v>8.8000000000000007</v>
      </c>
      <c r="J30" s="11">
        <v>8</v>
      </c>
      <c r="K30" s="11">
        <v>7.9</v>
      </c>
      <c r="L30" s="11">
        <v>9</v>
      </c>
      <c r="M30" s="11">
        <v>8</v>
      </c>
      <c r="N30" s="11">
        <v>8.6</v>
      </c>
      <c r="O30" s="11">
        <v>6</v>
      </c>
      <c r="P30" s="11">
        <v>8.5</v>
      </c>
    </row>
    <row r="31" spans="1:30" ht="28.8" x14ac:dyDescent="0.3">
      <c r="A31" s="8" t="s">
        <v>25</v>
      </c>
      <c r="B31" s="9">
        <v>39083</v>
      </c>
      <c r="C31" s="10" t="s">
        <v>296</v>
      </c>
      <c r="D31" s="11">
        <v>92</v>
      </c>
      <c r="E31" s="11">
        <v>7.7</v>
      </c>
      <c r="F31" s="11">
        <v>8.8000000000000007</v>
      </c>
      <c r="G31" s="11">
        <v>8</v>
      </c>
      <c r="H31" s="11">
        <v>8</v>
      </c>
      <c r="I31" s="11">
        <v>8</v>
      </c>
      <c r="J31" s="11">
        <v>5.0999999999999996</v>
      </c>
      <c r="K31" s="11">
        <v>8.5</v>
      </c>
      <c r="L31" s="11">
        <v>8.5</v>
      </c>
      <c r="M31" s="11">
        <v>7.1</v>
      </c>
      <c r="N31" s="11">
        <v>8.6</v>
      </c>
      <c r="O31" s="11">
        <v>4.8</v>
      </c>
      <c r="P31" s="11">
        <v>8.5</v>
      </c>
    </row>
    <row r="32" spans="1:30" x14ac:dyDescent="0.3">
      <c r="A32" s="8" t="s">
        <v>23</v>
      </c>
      <c r="B32" s="9">
        <v>39083</v>
      </c>
      <c r="C32" s="10" t="s">
        <v>321</v>
      </c>
      <c r="D32" s="11">
        <v>91.3</v>
      </c>
      <c r="E32" s="11">
        <v>7.1</v>
      </c>
      <c r="F32" s="11">
        <v>8.1999999999999993</v>
      </c>
      <c r="G32" s="11">
        <v>6.9</v>
      </c>
      <c r="H32" s="11">
        <v>7</v>
      </c>
      <c r="I32" s="11">
        <v>8.1</v>
      </c>
      <c r="J32" s="11">
        <v>8</v>
      </c>
      <c r="K32" s="11">
        <v>8</v>
      </c>
      <c r="L32" s="11">
        <v>7.4</v>
      </c>
      <c r="M32" s="11">
        <v>7</v>
      </c>
      <c r="N32" s="11">
        <v>8.6</v>
      </c>
      <c r="O32" s="11">
        <v>8</v>
      </c>
      <c r="P32" s="11">
        <v>8.5</v>
      </c>
    </row>
    <row r="33" spans="1:16" x14ac:dyDescent="0.3">
      <c r="A33" s="8" t="s">
        <v>18</v>
      </c>
      <c r="B33" s="9">
        <v>39083</v>
      </c>
      <c r="C33" s="10" t="s">
        <v>253</v>
      </c>
      <c r="D33" s="11">
        <v>91.2</v>
      </c>
      <c r="E33" s="11">
        <v>6.7</v>
      </c>
      <c r="F33" s="11">
        <v>6</v>
      </c>
      <c r="G33" s="11">
        <v>8.9</v>
      </c>
      <c r="H33" s="11">
        <v>9.1999999999999993</v>
      </c>
      <c r="I33" s="11">
        <v>7.2</v>
      </c>
      <c r="J33" s="11">
        <v>6</v>
      </c>
      <c r="K33" s="11">
        <v>8.1999999999999993</v>
      </c>
      <c r="L33" s="11">
        <v>8.8000000000000007</v>
      </c>
      <c r="M33" s="11">
        <v>7.1</v>
      </c>
      <c r="N33" s="11">
        <v>8.6</v>
      </c>
      <c r="O33" s="11">
        <v>5.9</v>
      </c>
      <c r="P33" s="11">
        <v>8.5</v>
      </c>
    </row>
    <row r="34" spans="1:16" x14ac:dyDescent="0.3">
      <c r="A34" s="8" t="s">
        <v>31</v>
      </c>
      <c r="B34" s="9">
        <v>39083</v>
      </c>
      <c r="C34" s="10" t="s">
        <v>295</v>
      </c>
      <c r="D34" s="11">
        <v>89.7</v>
      </c>
      <c r="E34" s="11">
        <v>7.6</v>
      </c>
      <c r="F34" s="11">
        <v>7.7</v>
      </c>
      <c r="G34" s="11">
        <v>6.4</v>
      </c>
      <c r="H34" s="11">
        <v>8.1999999999999993</v>
      </c>
      <c r="I34" s="11">
        <v>8.9</v>
      </c>
      <c r="J34" s="11">
        <v>6.6</v>
      </c>
      <c r="K34" s="11">
        <v>7.6</v>
      </c>
      <c r="L34" s="11">
        <v>8.9</v>
      </c>
      <c r="M34" s="11">
        <v>6.6</v>
      </c>
      <c r="N34" s="11">
        <v>8.6</v>
      </c>
      <c r="O34" s="11">
        <v>5.6</v>
      </c>
      <c r="P34" s="11">
        <v>8.5</v>
      </c>
    </row>
    <row r="35" spans="1:16" x14ac:dyDescent="0.3">
      <c r="A35" s="8" t="s">
        <v>32</v>
      </c>
      <c r="B35" s="9">
        <v>39083</v>
      </c>
      <c r="C35" s="10" t="s">
        <v>295</v>
      </c>
      <c r="D35" s="11">
        <v>89.7</v>
      </c>
      <c r="E35" s="11">
        <v>8.3000000000000007</v>
      </c>
      <c r="F35" s="11">
        <v>8.5</v>
      </c>
      <c r="G35" s="11">
        <v>7.4</v>
      </c>
      <c r="H35" s="11">
        <v>3.8</v>
      </c>
      <c r="I35" s="11">
        <v>8.4</v>
      </c>
      <c r="J35" s="11">
        <v>8.4</v>
      </c>
      <c r="K35" s="11">
        <v>8.1999999999999993</v>
      </c>
      <c r="L35" s="11">
        <v>6</v>
      </c>
      <c r="M35" s="11">
        <v>7.4</v>
      </c>
      <c r="N35" s="11">
        <v>8.6</v>
      </c>
      <c r="O35" s="11">
        <v>9.5</v>
      </c>
      <c r="P35" s="11">
        <v>8.5</v>
      </c>
    </row>
    <row r="36" spans="1:16" x14ac:dyDescent="0.3">
      <c r="A36" s="8" t="s">
        <v>28</v>
      </c>
      <c r="B36" s="9">
        <v>39083</v>
      </c>
      <c r="C36" s="10" t="s">
        <v>291</v>
      </c>
      <c r="D36" s="11">
        <v>89.4</v>
      </c>
      <c r="E36" s="11">
        <v>7.7</v>
      </c>
      <c r="F36" s="11">
        <v>8</v>
      </c>
      <c r="G36" s="11">
        <v>7</v>
      </c>
      <c r="H36" s="11">
        <v>6.1</v>
      </c>
      <c r="I36" s="11">
        <v>8.6999999999999993</v>
      </c>
      <c r="J36" s="11">
        <v>7.9</v>
      </c>
      <c r="K36" s="11">
        <v>8.5</v>
      </c>
      <c r="L36" s="11">
        <v>7.5</v>
      </c>
      <c r="M36" s="11">
        <v>7.2</v>
      </c>
      <c r="N36" s="11">
        <v>8.6</v>
      </c>
      <c r="O36" s="11">
        <v>6.8</v>
      </c>
      <c r="P36" s="11">
        <v>8.5</v>
      </c>
    </row>
    <row r="37" spans="1:16" x14ac:dyDescent="0.3">
      <c r="A37" s="8" t="s">
        <v>34</v>
      </c>
      <c r="B37" s="9">
        <v>39083</v>
      </c>
      <c r="C37" s="10" t="s">
        <v>252</v>
      </c>
      <c r="D37" s="11">
        <v>89.2</v>
      </c>
      <c r="E37" s="11">
        <v>6.1</v>
      </c>
      <c r="F37" s="11">
        <v>8.3000000000000007</v>
      </c>
      <c r="G37" s="11">
        <v>7.8</v>
      </c>
      <c r="H37" s="11">
        <v>7</v>
      </c>
      <c r="I37" s="11">
        <v>7.8</v>
      </c>
      <c r="J37" s="11">
        <v>6.2</v>
      </c>
      <c r="K37" s="11">
        <v>9</v>
      </c>
      <c r="L37" s="11">
        <v>6.7</v>
      </c>
      <c r="M37" s="11">
        <v>8.5</v>
      </c>
      <c r="N37" s="11">
        <v>8.6</v>
      </c>
      <c r="O37" s="11">
        <v>6.5</v>
      </c>
      <c r="P37" s="11">
        <v>8.5</v>
      </c>
    </row>
    <row r="38" spans="1:16" x14ac:dyDescent="0.3">
      <c r="A38" s="8" t="s">
        <v>36</v>
      </c>
      <c r="B38" s="9">
        <v>39083</v>
      </c>
      <c r="C38" s="10" t="s">
        <v>252</v>
      </c>
      <c r="D38" s="11">
        <v>89.2</v>
      </c>
      <c r="E38" s="11">
        <v>4.5999999999999996</v>
      </c>
      <c r="F38" s="11">
        <v>8.1999999999999993</v>
      </c>
      <c r="G38" s="11">
        <v>8.6999999999999993</v>
      </c>
      <c r="H38" s="11">
        <v>7.5</v>
      </c>
      <c r="I38" s="11">
        <v>7.1</v>
      </c>
      <c r="J38" s="11">
        <v>7.6</v>
      </c>
      <c r="K38" s="11">
        <v>8.5</v>
      </c>
      <c r="L38" s="11">
        <v>6.9</v>
      </c>
      <c r="M38" s="11">
        <v>7.4</v>
      </c>
      <c r="N38" s="11">
        <v>8.6</v>
      </c>
      <c r="O38" s="11">
        <v>7</v>
      </c>
      <c r="P38" s="11">
        <v>8.5</v>
      </c>
    </row>
    <row r="39" spans="1:16" ht="28.8" x14ac:dyDescent="0.3">
      <c r="A39" s="8" t="s">
        <v>27</v>
      </c>
      <c r="B39" s="9">
        <v>39083</v>
      </c>
      <c r="C39" s="10" t="s">
        <v>302</v>
      </c>
      <c r="D39" s="11">
        <v>88.8</v>
      </c>
      <c r="E39" s="11">
        <v>8</v>
      </c>
      <c r="F39" s="11">
        <v>6.8</v>
      </c>
      <c r="G39" s="11">
        <v>5.4</v>
      </c>
      <c r="H39" s="11">
        <v>8</v>
      </c>
      <c r="I39" s="11">
        <v>8.6</v>
      </c>
      <c r="J39" s="11">
        <v>7</v>
      </c>
      <c r="K39" s="11">
        <v>7.2</v>
      </c>
      <c r="L39" s="11">
        <v>8.5</v>
      </c>
      <c r="M39" s="11">
        <v>8</v>
      </c>
      <c r="N39" s="11">
        <v>8.6</v>
      </c>
      <c r="O39" s="11">
        <v>6.5</v>
      </c>
      <c r="P39" s="11">
        <v>8.5</v>
      </c>
    </row>
    <row r="40" spans="1:16" x14ac:dyDescent="0.3">
      <c r="A40" s="8" t="s">
        <v>33</v>
      </c>
      <c r="B40" s="9">
        <v>39083</v>
      </c>
      <c r="C40" s="10" t="s">
        <v>284</v>
      </c>
      <c r="D40" s="11">
        <v>88.7</v>
      </c>
      <c r="E40" s="11">
        <v>7.8</v>
      </c>
      <c r="F40" s="11">
        <v>8.8000000000000007</v>
      </c>
      <c r="G40" s="11">
        <v>6.3</v>
      </c>
      <c r="H40" s="11">
        <v>7.3</v>
      </c>
      <c r="I40" s="11">
        <v>7.3</v>
      </c>
      <c r="J40" s="11">
        <v>6.4</v>
      </c>
      <c r="K40" s="11">
        <v>9</v>
      </c>
      <c r="L40" s="11">
        <v>7.3</v>
      </c>
      <c r="M40" s="11">
        <v>8.6</v>
      </c>
      <c r="N40" s="11">
        <v>8.6</v>
      </c>
      <c r="O40" s="11">
        <v>6.1</v>
      </c>
      <c r="P40" s="11">
        <v>8.5</v>
      </c>
    </row>
    <row r="41" spans="1:16" x14ac:dyDescent="0.3">
      <c r="A41" s="8" t="s">
        <v>30</v>
      </c>
      <c r="B41" s="9">
        <v>39083</v>
      </c>
      <c r="C41" s="10" t="s">
        <v>301</v>
      </c>
      <c r="D41" s="11">
        <v>88.6</v>
      </c>
      <c r="E41" s="11">
        <v>7.4</v>
      </c>
      <c r="F41" s="11">
        <v>7.5</v>
      </c>
      <c r="G41" s="11">
        <v>8</v>
      </c>
      <c r="H41" s="11">
        <v>6.8</v>
      </c>
      <c r="I41" s="11">
        <v>8.1</v>
      </c>
      <c r="J41" s="11">
        <v>6.8</v>
      </c>
      <c r="K41" s="11">
        <v>8.5</v>
      </c>
      <c r="L41" s="11">
        <v>5.3</v>
      </c>
      <c r="M41" s="11">
        <v>8.5</v>
      </c>
      <c r="N41" s="11">
        <v>8.6</v>
      </c>
      <c r="O41" s="11">
        <v>8.9</v>
      </c>
      <c r="P41" s="11">
        <v>8.5</v>
      </c>
    </row>
    <row r="42" spans="1:16" ht="28.8" x14ac:dyDescent="0.3">
      <c r="A42" s="8" t="s">
        <v>37</v>
      </c>
      <c r="B42" s="9">
        <v>39083</v>
      </c>
      <c r="C42" s="10" t="s">
        <v>294</v>
      </c>
      <c r="D42" s="11">
        <v>88.2</v>
      </c>
      <c r="E42" s="11">
        <v>8.9</v>
      </c>
      <c r="F42" s="11">
        <v>8.5</v>
      </c>
      <c r="G42" s="11">
        <v>7</v>
      </c>
      <c r="H42" s="11">
        <v>4</v>
      </c>
      <c r="I42" s="11">
        <v>9</v>
      </c>
      <c r="J42" s="11">
        <v>7.4</v>
      </c>
      <c r="K42" s="11">
        <v>9.4</v>
      </c>
      <c r="L42" s="11">
        <v>8.6</v>
      </c>
      <c r="M42" s="11">
        <v>9.4</v>
      </c>
      <c r="N42" s="11">
        <v>8.6</v>
      </c>
      <c r="O42" s="11">
        <v>2</v>
      </c>
      <c r="P42" s="11">
        <v>8.5</v>
      </c>
    </row>
    <row r="43" spans="1:16" ht="28.8" x14ac:dyDescent="0.3">
      <c r="A43" s="12" t="s">
        <v>169</v>
      </c>
      <c r="B43" s="9">
        <v>39083</v>
      </c>
      <c r="C43" s="10" t="s">
        <v>294</v>
      </c>
      <c r="D43" s="11">
        <v>88.2</v>
      </c>
      <c r="E43" s="11">
        <v>7.9</v>
      </c>
      <c r="F43" s="11">
        <v>7.5</v>
      </c>
      <c r="G43" s="11">
        <v>6.8</v>
      </c>
      <c r="H43" s="11">
        <v>7.5</v>
      </c>
      <c r="I43" s="11">
        <v>8</v>
      </c>
      <c r="J43" s="11">
        <v>7.4</v>
      </c>
      <c r="K43" s="11">
        <v>8.1999999999999993</v>
      </c>
      <c r="L43" s="11">
        <v>6.3</v>
      </c>
      <c r="M43" s="11">
        <v>7.9</v>
      </c>
      <c r="N43" s="11">
        <v>8.6</v>
      </c>
      <c r="O43" s="11">
        <v>6.2</v>
      </c>
      <c r="P43" s="11">
        <v>8.5</v>
      </c>
    </row>
    <row r="44" spans="1:16" x14ac:dyDescent="0.3">
      <c r="A44" s="8" t="s">
        <v>40</v>
      </c>
      <c r="B44" s="9">
        <v>39083</v>
      </c>
      <c r="C44" s="10" t="s">
        <v>209</v>
      </c>
      <c r="D44" s="11">
        <v>87.5</v>
      </c>
      <c r="E44" s="11">
        <v>8.5</v>
      </c>
      <c r="F44" s="11">
        <v>8.1999999999999993</v>
      </c>
      <c r="G44" s="11">
        <v>6.2</v>
      </c>
      <c r="H44" s="11">
        <v>7.4</v>
      </c>
      <c r="I44" s="11">
        <v>7.3</v>
      </c>
      <c r="J44" s="11">
        <v>5.6</v>
      </c>
      <c r="K44" s="11">
        <v>9</v>
      </c>
      <c r="L44" s="11">
        <v>7.7</v>
      </c>
      <c r="M44" s="11">
        <v>9.6</v>
      </c>
      <c r="N44" s="11">
        <v>8.6</v>
      </c>
      <c r="O44" s="11">
        <v>4.5</v>
      </c>
      <c r="P44" s="11">
        <v>8.5</v>
      </c>
    </row>
    <row r="45" spans="1:16" x14ac:dyDescent="0.3">
      <c r="A45" s="8" t="s">
        <v>35</v>
      </c>
      <c r="B45" s="9">
        <v>39083</v>
      </c>
      <c r="C45" s="10" t="s">
        <v>319</v>
      </c>
      <c r="D45" s="11">
        <v>87.2</v>
      </c>
      <c r="E45" s="11">
        <v>8.1999999999999993</v>
      </c>
      <c r="F45" s="11">
        <v>8.6</v>
      </c>
      <c r="G45" s="11">
        <v>6.5</v>
      </c>
      <c r="H45" s="11">
        <v>7.1</v>
      </c>
      <c r="I45" s="11">
        <v>5.7</v>
      </c>
      <c r="J45" s="11">
        <v>6.6</v>
      </c>
      <c r="K45" s="11">
        <v>7.9</v>
      </c>
      <c r="L45" s="11">
        <v>8</v>
      </c>
      <c r="M45" s="11">
        <v>8.5</v>
      </c>
      <c r="N45" s="11">
        <v>8.6</v>
      </c>
      <c r="O45" s="11">
        <v>5.5</v>
      </c>
      <c r="P45" s="11">
        <v>8.5</v>
      </c>
    </row>
    <row r="46" spans="1:16" x14ac:dyDescent="0.3">
      <c r="A46" s="8" t="s">
        <v>41</v>
      </c>
      <c r="B46" s="9">
        <v>39083</v>
      </c>
      <c r="C46" s="10" t="s">
        <v>331</v>
      </c>
      <c r="D46" s="11">
        <v>86.7</v>
      </c>
      <c r="E46" s="11">
        <v>7.4</v>
      </c>
      <c r="F46" s="11">
        <v>7.9</v>
      </c>
      <c r="G46" s="11">
        <v>8</v>
      </c>
      <c r="H46" s="11">
        <v>7.8</v>
      </c>
      <c r="I46" s="11">
        <v>7</v>
      </c>
      <c r="J46" s="11">
        <v>5</v>
      </c>
      <c r="K46" s="11">
        <v>6.8</v>
      </c>
      <c r="L46" s="11">
        <v>8.1</v>
      </c>
      <c r="M46" s="11">
        <v>7.1</v>
      </c>
      <c r="N46" s="11">
        <v>8.6</v>
      </c>
      <c r="O46" s="11">
        <v>6.2</v>
      </c>
      <c r="P46" s="11">
        <v>8.5</v>
      </c>
    </row>
    <row r="47" spans="1:16" x14ac:dyDescent="0.3">
      <c r="A47" s="8" t="s">
        <v>39</v>
      </c>
      <c r="B47" s="9">
        <v>39083</v>
      </c>
      <c r="C47" s="10" t="s">
        <v>300</v>
      </c>
      <c r="D47" s="11">
        <v>86.6</v>
      </c>
      <c r="E47" s="11">
        <v>7.8</v>
      </c>
      <c r="F47" s="11">
        <v>7.6</v>
      </c>
      <c r="G47" s="11">
        <v>6</v>
      </c>
      <c r="H47" s="11">
        <v>8.1999999999999993</v>
      </c>
      <c r="I47" s="11">
        <v>7.5</v>
      </c>
      <c r="J47" s="11">
        <v>6.5</v>
      </c>
      <c r="K47" s="11">
        <v>7.7</v>
      </c>
      <c r="L47" s="11">
        <v>8</v>
      </c>
      <c r="M47" s="11">
        <v>7.8</v>
      </c>
      <c r="N47" s="11">
        <v>8.6</v>
      </c>
      <c r="O47" s="11">
        <v>5.4</v>
      </c>
      <c r="P47" s="11">
        <v>8.5</v>
      </c>
    </row>
    <row r="48" spans="1:16" x14ac:dyDescent="0.3">
      <c r="A48" s="8" t="s">
        <v>45</v>
      </c>
      <c r="B48" s="9">
        <v>39083</v>
      </c>
      <c r="C48" s="10" t="s">
        <v>283</v>
      </c>
      <c r="D48" s="11">
        <v>86.4</v>
      </c>
      <c r="E48" s="11">
        <v>4.5999999999999996</v>
      </c>
      <c r="F48" s="11">
        <v>8</v>
      </c>
      <c r="G48" s="11">
        <v>7</v>
      </c>
      <c r="H48" s="11">
        <v>7.9</v>
      </c>
      <c r="I48" s="11">
        <v>8.6999999999999993</v>
      </c>
      <c r="J48" s="11">
        <v>6.7</v>
      </c>
      <c r="K48" s="11">
        <v>8</v>
      </c>
      <c r="L48" s="11">
        <v>6.5</v>
      </c>
      <c r="M48" s="11">
        <v>8.5</v>
      </c>
      <c r="N48" s="11">
        <v>8.6</v>
      </c>
      <c r="O48" s="11">
        <v>7.5</v>
      </c>
      <c r="P48" s="11">
        <v>8.5</v>
      </c>
    </row>
    <row r="49" spans="1:16" x14ac:dyDescent="0.3">
      <c r="A49" s="8" t="s">
        <v>42</v>
      </c>
      <c r="B49" s="9">
        <v>39083</v>
      </c>
      <c r="C49" s="10" t="s">
        <v>210</v>
      </c>
      <c r="D49" s="11">
        <v>85.7</v>
      </c>
      <c r="E49" s="11">
        <v>6.2</v>
      </c>
      <c r="F49" s="11">
        <v>7.5</v>
      </c>
      <c r="G49" s="11">
        <v>7.3</v>
      </c>
      <c r="H49" s="11">
        <v>6.4</v>
      </c>
      <c r="I49" s="11">
        <v>7.2</v>
      </c>
      <c r="J49" s="11">
        <v>8</v>
      </c>
      <c r="K49" s="11">
        <v>8.5</v>
      </c>
      <c r="L49" s="11">
        <v>7.6</v>
      </c>
      <c r="M49" s="11">
        <v>7.1</v>
      </c>
      <c r="N49" s="11">
        <v>8.6</v>
      </c>
      <c r="O49" s="11">
        <v>5.9</v>
      </c>
      <c r="P49" s="11">
        <v>8.5</v>
      </c>
    </row>
    <row r="50" spans="1:16" x14ac:dyDescent="0.3">
      <c r="A50" s="8" t="s">
        <v>43</v>
      </c>
      <c r="B50" s="9">
        <v>39083</v>
      </c>
      <c r="C50" s="10" t="s">
        <v>210</v>
      </c>
      <c r="D50" s="11">
        <v>85.7</v>
      </c>
      <c r="E50" s="11">
        <v>6.3</v>
      </c>
      <c r="F50" s="11">
        <v>7.5</v>
      </c>
      <c r="G50" s="11">
        <v>7.3</v>
      </c>
      <c r="H50" s="11">
        <v>7.5</v>
      </c>
      <c r="I50" s="11">
        <v>7.5</v>
      </c>
      <c r="J50" s="11">
        <v>8.4</v>
      </c>
      <c r="K50" s="11">
        <v>7.9</v>
      </c>
      <c r="L50" s="11">
        <v>7.1</v>
      </c>
      <c r="M50" s="11">
        <v>6.8</v>
      </c>
      <c r="N50" s="11">
        <v>8.6</v>
      </c>
      <c r="O50" s="11">
        <v>4.7</v>
      </c>
      <c r="P50" s="11">
        <v>8.5</v>
      </c>
    </row>
    <row r="51" spans="1:16" x14ac:dyDescent="0.3">
      <c r="A51" s="8" t="s">
        <v>38</v>
      </c>
      <c r="B51" s="9">
        <v>39083</v>
      </c>
      <c r="C51" s="10" t="s">
        <v>245</v>
      </c>
      <c r="D51" s="11">
        <v>85.5</v>
      </c>
      <c r="E51" s="11">
        <v>7.5</v>
      </c>
      <c r="F51" s="11">
        <v>7.2</v>
      </c>
      <c r="G51" s="11">
        <v>5.4</v>
      </c>
      <c r="H51" s="11">
        <v>8.4</v>
      </c>
      <c r="I51" s="11">
        <v>5.9</v>
      </c>
      <c r="J51" s="11">
        <v>6</v>
      </c>
      <c r="K51" s="11">
        <v>8.3000000000000007</v>
      </c>
      <c r="L51" s="11">
        <v>7.7</v>
      </c>
      <c r="M51" s="11">
        <v>7.4</v>
      </c>
      <c r="N51" s="11">
        <v>8.6</v>
      </c>
      <c r="O51" s="11">
        <v>7.1</v>
      </c>
      <c r="P51" s="11">
        <v>8.5</v>
      </c>
    </row>
    <row r="52" spans="1:16" x14ac:dyDescent="0.3">
      <c r="A52" s="8" t="s">
        <v>47</v>
      </c>
      <c r="B52" s="9">
        <v>39083</v>
      </c>
      <c r="C52" s="10" t="s">
        <v>251</v>
      </c>
      <c r="D52" s="11">
        <v>85.2</v>
      </c>
      <c r="E52" s="11">
        <v>6.7</v>
      </c>
      <c r="F52" s="11">
        <v>8.5</v>
      </c>
      <c r="G52" s="11">
        <v>6.5</v>
      </c>
      <c r="H52" s="11">
        <v>6.8</v>
      </c>
      <c r="I52" s="11">
        <v>7.5</v>
      </c>
      <c r="J52" s="11">
        <v>5</v>
      </c>
      <c r="K52" s="11">
        <v>9.1</v>
      </c>
      <c r="L52" s="11">
        <v>6.9</v>
      </c>
      <c r="M52" s="11">
        <v>8.5</v>
      </c>
      <c r="N52" s="11">
        <v>8.6</v>
      </c>
      <c r="O52" s="11">
        <v>4.5999999999999996</v>
      </c>
      <c r="P52" s="11">
        <v>8.5</v>
      </c>
    </row>
    <row r="53" spans="1:16" ht="28.8" x14ac:dyDescent="0.3">
      <c r="A53" s="8" t="s">
        <v>46</v>
      </c>
      <c r="B53" s="9">
        <v>39083</v>
      </c>
      <c r="C53" s="10" t="s">
        <v>211</v>
      </c>
      <c r="D53" s="11">
        <v>85.1</v>
      </c>
      <c r="E53" s="11">
        <v>7</v>
      </c>
      <c r="F53" s="11">
        <v>6.7</v>
      </c>
      <c r="G53" s="11">
        <v>8</v>
      </c>
      <c r="H53" s="11">
        <v>7.3</v>
      </c>
      <c r="I53" s="11">
        <v>9</v>
      </c>
      <c r="J53" s="11">
        <v>7.9</v>
      </c>
      <c r="K53" s="11">
        <v>7.8</v>
      </c>
      <c r="L53" s="11">
        <v>7.8</v>
      </c>
      <c r="M53" s="11">
        <v>6.1</v>
      </c>
      <c r="N53" s="11">
        <v>8.6</v>
      </c>
      <c r="O53" s="11">
        <v>3.5</v>
      </c>
      <c r="P53" s="11">
        <v>8.5</v>
      </c>
    </row>
    <row r="54" spans="1:16" x14ac:dyDescent="0.3">
      <c r="A54" s="12" t="s">
        <v>49</v>
      </c>
      <c r="B54" s="9">
        <v>39083</v>
      </c>
      <c r="C54" s="10" t="s">
        <v>215</v>
      </c>
      <c r="D54" s="11">
        <v>84.9</v>
      </c>
      <c r="E54" s="11">
        <v>6.2</v>
      </c>
      <c r="F54" s="11">
        <v>7.5</v>
      </c>
      <c r="G54" s="11">
        <v>5.9</v>
      </c>
      <c r="H54" s="11">
        <v>4.2</v>
      </c>
      <c r="I54" s="11">
        <v>8.6999999999999993</v>
      </c>
      <c r="J54" s="11">
        <v>5</v>
      </c>
      <c r="K54" s="11">
        <v>8.6</v>
      </c>
      <c r="L54" s="11">
        <v>7.7</v>
      </c>
      <c r="M54" s="11">
        <v>7.5</v>
      </c>
      <c r="N54" s="11">
        <v>8.6</v>
      </c>
      <c r="O54" s="11">
        <v>7.5</v>
      </c>
      <c r="P54" s="11">
        <v>8.5</v>
      </c>
    </row>
    <row r="55" spans="1:16" ht="28.8" x14ac:dyDescent="0.3">
      <c r="A55" s="13" t="s">
        <v>163</v>
      </c>
      <c r="B55" s="9">
        <v>39083</v>
      </c>
      <c r="C55" s="10" t="s">
        <v>290</v>
      </c>
      <c r="D55" s="11">
        <v>84.5</v>
      </c>
      <c r="E55" s="11">
        <v>7.3</v>
      </c>
      <c r="F55" s="11">
        <v>8.3000000000000007</v>
      </c>
      <c r="G55" s="11">
        <v>8.3000000000000007</v>
      </c>
      <c r="H55" s="11">
        <v>6</v>
      </c>
      <c r="I55" s="11">
        <v>7.2</v>
      </c>
      <c r="J55" s="11">
        <v>6</v>
      </c>
      <c r="K55" s="11">
        <v>7.6</v>
      </c>
      <c r="L55" s="11">
        <v>5.6</v>
      </c>
      <c r="M55" s="11">
        <v>5.3</v>
      </c>
      <c r="N55" s="11">
        <v>8.6</v>
      </c>
      <c r="O55" s="11">
        <v>8</v>
      </c>
      <c r="P55" s="11">
        <v>8.5</v>
      </c>
    </row>
    <row r="56" spans="1:16" x14ac:dyDescent="0.3">
      <c r="A56" s="8" t="s">
        <v>52</v>
      </c>
      <c r="B56" s="9">
        <v>39083</v>
      </c>
      <c r="C56" s="10" t="s">
        <v>213</v>
      </c>
      <c r="D56" s="11">
        <v>84.4</v>
      </c>
      <c r="E56" s="11">
        <v>7.3</v>
      </c>
      <c r="F56" s="11">
        <v>7.2</v>
      </c>
      <c r="G56" s="11">
        <v>6</v>
      </c>
      <c r="H56" s="11">
        <v>6.5</v>
      </c>
      <c r="I56" s="11">
        <v>8</v>
      </c>
      <c r="J56" s="11">
        <v>7.5</v>
      </c>
      <c r="K56" s="11">
        <v>6.5</v>
      </c>
      <c r="L56" s="11">
        <v>7</v>
      </c>
      <c r="M56" s="11">
        <v>7</v>
      </c>
      <c r="N56" s="11">
        <v>8.6</v>
      </c>
      <c r="O56" s="11">
        <v>7.5</v>
      </c>
      <c r="P56" s="11">
        <v>8.5</v>
      </c>
    </row>
    <row r="57" spans="1:16" x14ac:dyDescent="0.3">
      <c r="A57" s="8" t="s">
        <v>51</v>
      </c>
      <c r="B57" s="9">
        <v>39083</v>
      </c>
      <c r="C57" s="10" t="s">
        <v>214</v>
      </c>
      <c r="D57" s="11">
        <v>83.2</v>
      </c>
      <c r="E57" s="11">
        <v>7.6</v>
      </c>
      <c r="F57" s="11">
        <v>7.8</v>
      </c>
      <c r="G57" s="11">
        <v>7.2</v>
      </c>
      <c r="H57" s="11">
        <v>5.8</v>
      </c>
      <c r="I57" s="11">
        <v>7.6</v>
      </c>
      <c r="J57" s="11">
        <v>6.7</v>
      </c>
      <c r="K57" s="11">
        <v>8.1999999999999993</v>
      </c>
      <c r="L57" s="11">
        <v>5.9</v>
      </c>
      <c r="M57" s="11">
        <v>6.8</v>
      </c>
      <c r="N57" s="11">
        <v>8.6</v>
      </c>
      <c r="O57" s="11">
        <v>5.7</v>
      </c>
      <c r="P57" s="11">
        <v>8.5</v>
      </c>
    </row>
    <row r="58" spans="1:16" x14ac:dyDescent="0.3">
      <c r="A58" s="8" t="s">
        <v>44</v>
      </c>
      <c r="B58" s="9">
        <v>39083</v>
      </c>
      <c r="C58" s="10" t="s">
        <v>318</v>
      </c>
      <c r="D58" s="11">
        <v>82.8</v>
      </c>
      <c r="E58" s="11">
        <v>8.3000000000000007</v>
      </c>
      <c r="F58" s="11">
        <v>8.9</v>
      </c>
      <c r="G58" s="11">
        <v>7.1</v>
      </c>
      <c r="H58" s="11">
        <v>3.3</v>
      </c>
      <c r="I58" s="11">
        <v>7.2</v>
      </c>
      <c r="J58" s="11">
        <v>5</v>
      </c>
      <c r="K58" s="11">
        <v>7.8</v>
      </c>
      <c r="L58" s="11">
        <v>5.7</v>
      </c>
      <c r="M58" s="11">
        <v>8.6999999999999993</v>
      </c>
      <c r="N58" s="11">
        <v>8.6</v>
      </c>
      <c r="O58" s="11">
        <v>8.6</v>
      </c>
      <c r="P58" s="11">
        <v>8.5</v>
      </c>
    </row>
    <row r="59" spans="1:16" x14ac:dyDescent="0.3">
      <c r="A59" s="8" t="s">
        <v>50</v>
      </c>
      <c r="B59" s="9">
        <v>39083</v>
      </c>
      <c r="C59" s="10" t="s">
        <v>324</v>
      </c>
      <c r="D59" s="11">
        <v>82.3</v>
      </c>
      <c r="E59" s="11">
        <v>7.8</v>
      </c>
      <c r="F59" s="11">
        <v>7.8</v>
      </c>
      <c r="G59" s="11">
        <v>7.6</v>
      </c>
      <c r="H59" s="11">
        <v>5.7</v>
      </c>
      <c r="I59" s="11">
        <v>7</v>
      </c>
      <c r="J59" s="11">
        <v>5.7</v>
      </c>
      <c r="K59" s="11">
        <v>7.9</v>
      </c>
      <c r="L59" s="11">
        <v>6.1</v>
      </c>
      <c r="M59" s="11">
        <v>5.4</v>
      </c>
      <c r="N59" s="11">
        <v>8.6</v>
      </c>
      <c r="O59" s="11">
        <v>6.8</v>
      </c>
      <c r="P59" s="11">
        <v>8.5</v>
      </c>
    </row>
    <row r="60" spans="1:16" x14ac:dyDescent="0.3">
      <c r="A60" s="8" t="s">
        <v>48</v>
      </c>
      <c r="B60" s="9">
        <v>39083</v>
      </c>
      <c r="C60" s="10" t="s">
        <v>212</v>
      </c>
      <c r="D60" s="11">
        <v>82</v>
      </c>
      <c r="E60" s="11">
        <v>6.2</v>
      </c>
      <c r="F60" s="11">
        <v>8.3000000000000007</v>
      </c>
      <c r="G60" s="11">
        <v>7</v>
      </c>
      <c r="H60" s="11">
        <v>6.4</v>
      </c>
      <c r="I60" s="11">
        <v>8.5</v>
      </c>
      <c r="J60" s="11">
        <v>7</v>
      </c>
      <c r="K60" s="11">
        <v>7.2</v>
      </c>
      <c r="L60" s="11">
        <v>7.4</v>
      </c>
      <c r="M60" s="11">
        <v>7</v>
      </c>
      <c r="N60" s="11">
        <v>8.6</v>
      </c>
      <c r="O60" s="11">
        <v>3.7</v>
      </c>
      <c r="P60" s="11">
        <v>8.5</v>
      </c>
    </row>
    <row r="61" spans="1:16" x14ac:dyDescent="0.3">
      <c r="A61" s="8" t="s">
        <v>58</v>
      </c>
      <c r="B61" s="9">
        <v>39083</v>
      </c>
      <c r="C61" s="10" t="s">
        <v>289</v>
      </c>
      <c r="D61" s="11">
        <v>81.400000000000006</v>
      </c>
      <c r="E61" s="11">
        <v>7.3</v>
      </c>
      <c r="F61" s="11">
        <v>5.9</v>
      </c>
      <c r="G61" s="11">
        <v>7.1</v>
      </c>
      <c r="H61" s="11">
        <v>7</v>
      </c>
      <c r="I61" s="11">
        <v>8</v>
      </c>
      <c r="J61" s="11">
        <v>6.7</v>
      </c>
      <c r="K61" s="11">
        <v>7.4</v>
      </c>
      <c r="L61" s="11">
        <v>6.6</v>
      </c>
      <c r="M61" s="11">
        <v>7.1</v>
      </c>
      <c r="N61" s="11">
        <v>8.6</v>
      </c>
      <c r="O61" s="11">
        <v>6</v>
      </c>
      <c r="P61" s="11">
        <v>8.5</v>
      </c>
    </row>
    <row r="62" spans="1:16" x14ac:dyDescent="0.3">
      <c r="A62" s="8" t="s">
        <v>63</v>
      </c>
      <c r="B62" s="9">
        <v>39083</v>
      </c>
      <c r="C62" s="10" t="s">
        <v>208</v>
      </c>
      <c r="D62" s="11">
        <v>81.3</v>
      </c>
      <c r="E62" s="11">
        <v>7.1</v>
      </c>
      <c r="F62" s="11">
        <v>7.1</v>
      </c>
      <c r="G62" s="11">
        <v>4</v>
      </c>
      <c r="H62" s="11">
        <v>7.7</v>
      </c>
      <c r="I62" s="11">
        <v>6</v>
      </c>
      <c r="J62" s="11">
        <v>5.3</v>
      </c>
      <c r="K62" s="11">
        <v>8.8000000000000007</v>
      </c>
      <c r="L62" s="11">
        <v>8.1</v>
      </c>
      <c r="M62" s="11">
        <v>7.5</v>
      </c>
      <c r="N62" s="11">
        <v>8.6</v>
      </c>
      <c r="O62" s="11">
        <v>4</v>
      </c>
      <c r="P62" s="11">
        <v>8.5</v>
      </c>
    </row>
    <row r="63" spans="1:16" x14ac:dyDescent="0.3">
      <c r="A63" s="8" t="s">
        <v>56</v>
      </c>
      <c r="B63" s="9">
        <v>39083</v>
      </c>
      <c r="C63" s="10" t="s">
        <v>244</v>
      </c>
      <c r="D63" s="11">
        <v>81.2</v>
      </c>
      <c r="E63" s="11">
        <v>7.2</v>
      </c>
      <c r="F63" s="11">
        <v>7.5</v>
      </c>
      <c r="G63" s="11">
        <v>7.3</v>
      </c>
      <c r="H63" s="11">
        <v>6.3</v>
      </c>
      <c r="I63" s="11">
        <v>7.4</v>
      </c>
      <c r="J63" s="11">
        <v>5.3</v>
      </c>
      <c r="K63" s="11">
        <v>7.8</v>
      </c>
      <c r="L63" s="11">
        <v>6</v>
      </c>
      <c r="M63" s="11">
        <v>6.4</v>
      </c>
      <c r="N63" s="11">
        <v>8.6</v>
      </c>
      <c r="O63" s="11">
        <v>7.5</v>
      </c>
      <c r="P63" s="11">
        <v>8.5</v>
      </c>
    </row>
    <row r="64" spans="1:16" x14ac:dyDescent="0.3">
      <c r="A64" s="8" t="s">
        <v>60</v>
      </c>
      <c r="B64" s="9">
        <v>39083</v>
      </c>
      <c r="C64" s="10" t="s">
        <v>244</v>
      </c>
      <c r="D64" s="11">
        <v>81.2</v>
      </c>
      <c r="E64" s="11">
        <v>5.3</v>
      </c>
      <c r="F64" s="11">
        <v>7.5</v>
      </c>
      <c r="G64" s="11">
        <v>8</v>
      </c>
      <c r="H64" s="11">
        <v>4</v>
      </c>
      <c r="I64" s="11">
        <v>9</v>
      </c>
      <c r="J64" s="11">
        <v>6.5</v>
      </c>
      <c r="K64" s="11">
        <v>8.5</v>
      </c>
      <c r="L64" s="11">
        <v>6.5</v>
      </c>
      <c r="M64" s="11">
        <v>9</v>
      </c>
      <c r="N64" s="11">
        <v>8.6</v>
      </c>
      <c r="O64" s="11">
        <v>5.0999999999999996</v>
      </c>
      <c r="P64" s="11">
        <v>8.5</v>
      </c>
    </row>
    <row r="65" spans="1:16" x14ac:dyDescent="0.3">
      <c r="A65" s="8" t="s">
        <v>53</v>
      </c>
      <c r="B65" s="9">
        <v>39083</v>
      </c>
      <c r="C65" s="10" t="s">
        <v>244</v>
      </c>
      <c r="D65" s="11">
        <v>81.2</v>
      </c>
      <c r="E65" s="11">
        <v>6.2</v>
      </c>
      <c r="F65" s="11">
        <v>6.7</v>
      </c>
      <c r="G65" s="11">
        <v>5.5</v>
      </c>
      <c r="H65" s="11">
        <v>9.1</v>
      </c>
      <c r="I65" s="11">
        <v>5.5</v>
      </c>
      <c r="J65" s="11">
        <v>5.4</v>
      </c>
      <c r="K65" s="11">
        <v>7.5</v>
      </c>
      <c r="L65" s="11">
        <v>8.9</v>
      </c>
      <c r="M65" s="11">
        <v>6.7</v>
      </c>
      <c r="N65" s="11">
        <v>8.6</v>
      </c>
      <c r="O65" s="11">
        <v>4.5</v>
      </c>
      <c r="P65" s="11">
        <v>8.5</v>
      </c>
    </row>
    <row r="66" spans="1:16" x14ac:dyDescent="0.3">
      <c r="A66" s="8" t="s">
        <v>65</v>
      </c>
      <c r="B66" s="9">
        <v>39083</v>
      </c>
      <c r="C66" s="10" t="s">
        <v>244</v>
      </c>
      <c r="D66" s="11">
        <v>81.2</v>
      </c>
      <c r="E66" s="11">
        <v>6.8</v>
      </c>
      <c r="F66" s="11">
        <v>8.5</v>
      </c>
      <c r="G66" s="11">
        <v>7.7</v>
      </c>
      <c r="H66" s="11">
        <v>3.9</v>
      </c>
      <c r="I66" s="11">
        <v>8.1999999999999993</v>
      </c>
      <c r="J66" s="11">
        <v>6.5</v>
      </c>
      <c r="K66" s="11">
        <v>7.6</v>
      </c>
      <c r="L66" s="11">
        <v>6.2</v>
      </c>
      <c r="M66" s="11">
        <v>8.5</v>
      </c>
      <c r="N66" s="11">
        <v>8.6</v>
      </c>
      <c r="O66" s="11">
        <v>5.9</v>
      </c>
      <c r="P66" s="11">
        <v>8.5</v>
      </c>
    </row>
    <row r="67" spans="1:16" x14ac:dyDescent="0.3">
      <c r="A67" s="8" t="s">
        <v>57</v>
      </c>
      <c r="B67" s="9">
        <v>39083</v>
      </c>
      <c r="C67" s="10" t="s">
        <v>269</v>
      </c>
      <c r="D67" s="11">
        <v>81.099999999999994</v>
      </c>
      <c r="E67" s="11">
        <v>6.1</v>
      </c>
      <c r="F67" s="11">
        <v>6.4</v>
      </c>
      <c r="G67" s="11">
        <v>4.8</v>
      </c>
      <c r="H67" s="11">
        <v>8</v>
      </c>
      <c r="I67" s="11">
        <v>6.2</v>
      </c>
      <c r="J67" s="11">
        <v>8.1999999999999993</v>
      </c>
      <c r="K67" s="11">
        <v>7</v>
      </c>
      <c r="L67" s="11">
        <v>7.4</v>
      </c>
      <c r="M67" s="11">
        <v>6.4</v>
      </c>
      <c r="N67" s="11">
        <v>8.6</v>
      </c>
      <c r="O67" s="11">
        <v>4.8</v>
      </c>
      <c r="P67" s="11">
        <v>8.5</v>
      </c>
    </row>
    <row r="68" spans="1:16" x14ac:dyDescent="0.3">
      <c r="A68" s="8" t="s">
        <v>59</v>
      </c>
      <c r="B68" s="9">
        <v>39083</v>
      </c>
      <c r="C68" s="10" t="s">
        <v>269</v>
      </c>
      <c r="D68" s="11">
        <v>81.099999999999994</v>
      </c>
      <c r="E68" s="11">
        <v>6.1</v>
      </c>
      <c r="F68" s="11">
        <v>7.2</v>
      </c>
      <c r="G68" s="11">
        <v>4.9000000000000004</v>
      </c>
      <c r="H68" s="11">
        <v>7.3</v>
      </c>
      <c r="I68" s="11">
        <v>4.9000000000000004</v>
      </c>
      <c r="J68" s="11">
        <v>7</v>
      </c>
      <c r="K68" s="11">
        <v>7.9</v>
      </c>
      <c r="L68" s="11">
        <v>7.1</v>
      </c>
      <c r="M68" s="11">
        <v>7.7</v>
      </c>
      <c r="N68" s="11">
        <v>8.6</v>
      </c>
      <c r="O68" s="11">
        <v>7</v>
      </c>
      <c r="P68" s="11">
        <v>8.5</v>
      </c>
    </row>
    <row r="69" spans="1:16" x14ac:dyDescent="0.3">
      <c r="A69" s="8" t="s">
        <v>62</v>
      </c>
      <c r="B69" s="9">
        <v>39083</v>
      </c>
      <c r="C69" s="10" t="s">
        <v>269</v>
      </c>
      <c r="D69" s="11">
        <v>81.099999999999994</v>
      </c>
      <c r="E69" s="11">
        <v>6.3</v>
      </c>
      <c r="F69" s="11">
        <v>8</v>
      </c>
      <c r="G69" s="11">
        <v>7.7</v>
      </c>
      <c r="H69" s="11">
        <v>6.5</v>
      </c>
      <c r="I69" s="11">
        <v>7.7</v>
      </c>
      <c r="J69" s="11">
        <v>5.5</v>
      </c>
      <c r="K69" s="11">
        <v>7.5</v>
      </c>
      <c r="L69" s="11">
        <v>5</v>
      </c>
      <c r="M69" s="11">
        <v>6.1</v>
      </c>
      <c r="N69" s="11">
        <v>8.6</v>
      </c>
      <c r="O69" s="11">
        <v>8</v>
      </c>
      <c r="P69" s="11">
        <v>8.5</v>
      </c>
    </row>
    <row r="70" spans="1:16" ht="28.8" x14ac:dyDescent="0.3">
      <c r="A70" s="8" t="s">
        <v>69</v>
      </c>
      <c r="B70" s="9">
        <v>39083</v>
      </c>
      <c r="C70" s="10" t="s">
        <v>288</v>
      </c>
      <c r="D70" s="11">
        <v>80.599999999999994</v>
      </c>
      <c r="E70" s="11">
        <v>6.5</v>
      </c>
      <c r="F70" s="11">
        <v>7.4</v>
      </c>
      <c r="G70" s="11">
        <v>6.1</v>
      </c>
      <c r="H70" s="11">
        <v>5.8</v>
      </c>
      <c r="I70" s="11">
        <v>8.1</v>
      </c>
      <c r="J70" s="11">
        <v>8.3000000000000007</v>
      </c>
      <c r="K70" s="11">
        <v>6</v>
      </c>
      <c r="L70" s="11">
        <v>6.9</v>
      </c>
      <c r="M70" s="11">
        <v>7</v>
      </c>
      <c r="N70" s="11">
        <v>8.6</v>
      </c>
      <c r="O70" s="11">
        <v>6.4</v>
      </c>
      <c r="P70" s="11">
        <v>8.5</v>
      </c>
    </row>
    <row r="71" spans="1:16" x14ac:dyDescent="0.3">
      <c r="A71" s="8" t="s">
        <v>55</v>
      </c>
      <c r="B71" s="9">
        <v>39083</v>
      </c>
      <c r="C71" s="10" t="s">
        <v>288</v>
      </c>
      <c r="D71" s="11">
        <v>80.599999999999994</v>
      </c>
      <c r="E71" s="11">
        <v>5.5</v>
      </c>
      <c r="F71" s="11">
        <v>5.2</v>
      </c>
      <c r="G71" s="11">
        <v>5.2</v>
      </c>
      <c r="H71" s="11">
        <v>7.9</v>
      </c>
      <c r="I71" s="11">
        <v>7.4</v>
      </c>
      <c r="J71" s="11">
        <v>6.7</v>
      </c>
      <c r="K71" s="11">
        <v>7.6</v>
      </c>
      <c r="L71" s="11">
        <v>7.9</v>
      </c>
      <c r="M71" s="11">
        <v>5.8</v>
      </c>
      <c r="N71" s="11">
        <v>8.6</v>
      </c>
      <c r="O71" s="11">
        <v>6.2</v>
      </c>
      <c r="P71" s="11">
        <v>8.5</v>
      </c>
    </row>
    <row r="72" spans="1:16" x14ac:dyDescent="0.3">
      <c r="A72" s="8" t="s">
        <v>64</v>
      </c>
      <c r="B72" s="9">
        <v>39083</v>
      </c>
      <c r="C72" s="10" t="s">
        <v>287</v>
      </c>
      <c r="D72" s="11">
        <v>80.3</v>
      </c>
      <c r="E72" s="11">
        <v>7</v>
      </c>
      <c r="F72" s="11">
        <v>6.9</v>
      </c>
      <c r="G72" s="11">
        <v>5.5</v>
      </c>
      <c r="H72" s="11">
        <v>6.9</v>
      </c>
      <c r="I72" s="11">
        <v>6.1</v>
      </c>
      <c r="J72" s="11">
        <v>5</v>
      </c>
      <c r="K72" s="11">
        <v>7.4</v>
      </c>
      <c r="L72" s="11">
        <v>7.5</v>
      </c>
      <c r="M72" s="11">
        <v>6</v>
      </c>
      <c r="N72" s="11">
        <v>8.6</v>
      </c>
      <c r="O72" s="11">
        <v>6.5</v>
      </c>
      <c r="P72" s="11">
        <v>8.5</v>
      </c>
    </row>
    <row r="73" spans="1:16" x14ac:dyDescent="0.3">
      <c r="A73" s="8" t="s">
        <v>54</v>
      </c>
      <c r="B73" s="9">
        <v>39083</v>
      </c>
      <c r="C73" s="10" t="s">
        <v>202</v>
      </c>
      <c r="D73" s="11">
        <v>80</v>
      </c>
      <c r="E73" s="11">
        <v>6.5</v>
      </c>
      <c r="F73" s="11">
        <v>7.2</v>
      </c>
      <c r="G73" s="11">
        <v>6.4</v>
      </c>
      <c r="H73" s="11">
        <v>7.8</v>
      </c>
      <c r="I73" s="11">
        <v>8.6</v>
      </c>
      <c r="J73" s="11">
        <v>7.1</v>
      </c>
      <c r="K73" s="11">
        <v>6.5</v>
      </c>
      <c r="L73" s="11">
        <v>7</v>
      </c>
      <c r="M73" s="11">
        <v>5.4</v>
      </c>
      <c r="N73" s="11">
        <v>8.6</v>
      </c>
      <c r="O73" s="11">
        <v>5.0999999999999996</v>
      </c>
      <c r="P73" s="11">
        <v>8.5</v>
      </c>
    </row>
    <row r="74" spans="1:16" x14ac:dyDescent="0.3">
      <c r="A74" s="8" t="s">
        <v>61</v>
      </c>
      <c r="B74" s="9">
        <v>39083</v>
      </c>
      <c r="C74" s="10" t="s">
        <v>207</v>
      </c>
      <c r="D74" s="11">
        <v>79.900000000000006</v>
      </c>
      <c r="E74" s="11">
        <v>6.6</v>
      </c>
      <c r="F74" s="11">
        <v>7.6</v>
      </c>
      <c r="G74" s="11">
        <v>6.7</v>
      </c>
      <c r="H74" s="11">
        <v>5.3</v>
      </c>
      <c r="I74" s="11">
        <v>8</v>
      </c>
      <c r="J74" s="11">
        <v>7.1</v>
      </c>
      <c r="K74" s="11">
        <v>7.5</v>
      </c>
      <c r="L74" s="11">
        <v>6.8</v>
      </c>
      <c r="M74" s="11">
        <v>6.6</v>
      </c>
      <c r="N74" s="11">
        <v>8.6</v>
      </c>
      <c r="O74" s="11">
        <v>6</v>
      </c>
      <c r="P74" s="11">
        <v>8.5</v>
      </c>
    </row>
    <row r="75" spans="1:16" x14ac:dyDescent="0.3">
      <c r="A75" s="8" t="s">
        <v>70</v>
      </c>
      <c r="B75" s="9">
        <v>39083</v>
      </c>
      <c r="C75" s="10" t="s">
        <v>203</v>
      </c>
      <c r="D75" s="11">
        <v>79.8</v>
      </c>
      <c r="E75" s="11">
        <v>6.9</v>
      </c>
      <c r="F75" s="11">
        <v>7.5</v>
      </c>
      <c r="G75" s="11">
        <v>6.8</v>
      </c>
      <c r="H75" s="11">
        <v>4</v>
      </c>
      <c r="I75" s="11">
        <v>8.1999999999999993</v>
      </c>
      <c r="J75" s="11">
        <v>6.9</v>
      </c>
      <c r="K75" s="11">
        <v>7.5</v>
      </c>
      <c r="L75" s="11">
        <v>6.3</v>
      </c>
      <c r="M75" s="11">
        <v>7.9</v>
      </c>
      <c r="N75" s="11">
        <v>8.6</v>
      </c>
      <c r="O75" s="11">
        <v>5.2</v>
      </c>
      <c r="P75" s="11">
        <v>8.5</v>
      </c>
    </row>
    <row r="76" spans="1:16" ht="28.8" x14ac:dyDescent="0.3">
      <c r="A76" s="8" t="s">
        <v>182</v>
      </c>
      <c r="B76" s="9">
        <v>39083</v>
      </c>
      <c r="C76" s="10" t="s">
        <v>277</v>
      </c>
      <c r="D76" s="11">
        <v>79.599999999999994</v>
      </c>
      <c r="E76" s="11">
        <v>5.3</v>
      </c>
      <c r="F76" s="11">
        <v>7.2</v>
      </c>
      <c r="G76" s="11">
        <v>9</v>
      </c>
      <c r="H76" s="11">
        <v>3.7</v>
      </c>
      <c r="I76" s="11">
        <v>6.9</v>
      </c>
      <c r="J76" s="11">
        <v>3.5</v>
      </c>
      <c r="K76" s="11">
        <v>7.3</v>
      </c>
      <c r="L76" s="11">
        <v>7</v>
      </c>
      <c r="M76" s="11">
        <v>7.4</v>
      </c>
      <c r="N76" s="11">
        <v>8.6</v>
      </c>
      <c r="O76" s="11">
        <v>7.9</v>
      </c>
      <c r="P76" s="11">
        <v>8.5</v>
      </c>
    </row>
    <row r="77" spans="1:16" x14ac:dyDescent="0.3">
      <c r="A77" s="8" t="s">
        <v>67</v>
      </c>
      <c r="B77" s="9">
        <v>39083</v>
      </c>
      <c r="C77" s="10" t="s">
        <v>286</v>
      </c>
      <c r="D77" s="11">
        <v>79.3</v>
      </c>
      <c r="E77" s="11">
        <v>5.7</v>
      </c>
      <c r="F77" s="11">
        <v>5.5</v>
      </c>
      <c r="G77" s="11">
        <v>6.2</v>
      </c>
      <c r="H77" s="11">
        <v>7.4</v>
      </c>
      <c r="I77" s="11">
        <v>6.9</v>
      </c>
      <c r="J77" s="11">
        <v>6</v>
      </c>
      <c r="K77" s="11">
        <v>6.3</v>
      </c>
      <c r="L77" s="11">
        <v>7.8</v>
      </c>
      <c r="M77" s="11">
        <v>6</v>
      </c>
      <c r="N77" s="11">
        <v>8.6</v>
      </c>
      <c r="O77" s="11">
        <v>7.1</v>
      </c>
      <c r="P77" s="11">
        <v>8.5</v>
      </c>
    </row>
    <row r="78" spans="1:16" x14ac:dyDescent="0.3">
      <c r="A78" s="8" t="s">
        <v>68</v>
      </c>
      <c r="B78" s="9">
        <v>39083</v>
      </c>
      <c r="C78" s="10" t="s">
        <v>201</v>
      </c>
      <c r="D78" s="11">
        <v>78.599999999999994</v>
      </c>
      <c r="E78" s="11">
        <v>7.7</v>
      </c>
      <c r="F78" s="11">
        <v>7.8</v>
      </c>
      <c r="G78" s="11">
        <v>5.5</v>
      </c>
      <c r="H78" s="11">
        <v>6.3</v>
      </c>
      <c r="I78" s="11">
        <v>7.2</v>
      </c>
      <c r="J78" s="11">
        <v>6</v>
      </c>
      <c r="K78" s="11">
        <v>7.6</v>
      </c>
      <c r="L78" s="11">
        <v>3.8</v>
      </c>
      <c r="M78" s="11">
        <v>7.8</v>
      </c>
      <c r="N78" s="11">
        <v>8.6</v>
      </c>
      <c r="O78" s="11">
        <v>4.7</v>
      </c>
      <c r="P78" s="11">
        <v>8.5</v>
      </c>
    </row>
    <row r="79" spans="1:16" ht="28.8" x14ac:dyDescent="0.3">
      <c r="A79" s="8" t="s">
        <v>167</v>
      </c>
      <c r="B79" s="9">
        <v>39083</v>
      </c>
      <c r="C79" s="10" t="s">
        <v>201</v>
      </c>
      <c r="D79" s="11">
        <v>78.599999999999994</v>
      </c>
      <c r="E79" s="11">
        <v>5.8</v>
      </c>
      <c r="F79" s="11">
        <v>5.9</v>
      </c>
      <c r="G79" s="11">
        <v>5.0999999999999996</v>
      </c>
      <c r="H79" s="11">
        <v>8.5</v>
      </c>
      <c r="I79" s="11">
        <v>6.1</v>
      </c>
      <c r="J79" s="11">
        <v>7.4</v>
      </c>
      <c r="K79" s="11">
        <v>7.3</v>
      </c>
      <c r="L79" s="11">
        <v>8.1</v>
      </c>
      <c r="M79" s="11">
        <v>5.3</v>
      </c>
      <c r="N79" s="11">
        <v>8.6</v>
      </c>
      <c r="O79" s="11">
        <v>4.8</v>
      </c>
      <c r="P79" s="11">
        <v>8.5</v>
      </c>
    </row>
    <row r="80" spans="1:16" x14ac:dyDescent="0.3">
      <c r="A80" s="8" t="s">
        <v>66</v>
      </c>
      <c r="B80" s="9">
        <v>39083</v>
      </c>
      <c r="C80" s="10" t="s">
        <v>278</v>
      </c>
      <c r="D80" s="11">
        <v>77.8</v>
      </c>
      <c r="E80" s="11">
        <v>6.7</v>
      </c>
      <c r="F80" s="11">
        <v>6.5</v>
      </c>
      <c r="G80" s="11">
        <v>5.3</v>
      </c>
      <c r="H80" s="11">
        <v>7.6</v>
      </c>
      <c r="I80" s="11">
        <v>6.1</v>
      </c>
      <c r="J80" s="11">
        <v>5.7</v>
      </c>
      <c r="K80" s="11">
        <v>7.9</v>
      </c>
      <c r="L80" s="11">
        <v>8.6999999999999993</v>
      </c>
      <c r="M80" s="11">
        <v>6.6</v>
      </c>
      <c r="N80" s="11">
        <v>8.6</v>
      </c>
      <c r="O80" s="11">
        <v>3.6</v>
      </c>
      <c r="P80" s="11">
        <v>8.5</v>
      </c>
    </row>
    <row r="81" spans="1:16" x14ac:dyDescent="0.3">
      <c r="A81" s="8" t="s">
        <v>86</v>
      </c>
      <c r="B81" s="9">
        <v>39083</v>
      </c>
      <c r="C81" s="10" t="s">
        <v>278</v>
      </c>
      <c r="D81" s="11">
        <v>77.8</v>
      </c>
      <c r="E81" s="11">
        <v>7.4</v>
      </c>
      <c r="F81" s="11">
        <v>7</v>
      </c>
      <c r="G81" s="11">
        <v>5.3</v>
      </c>
      <c r="H81" s="11">
        <v>6.2</v>
      </c>
      <c r="I81" s="11">
        <v>6.2</v>
      </c>
      <c r="J81" s="11">
        <v>7</v>
      </c>
      <c r="K81" s="11">
        <v>7</v>
      </c>
      <c r="L81" s="11">
        <v>6.5</v>
      </c>
      <c r="M81" s="11">
        <v>6.9</v>
      </c>
      <c r="N81" s="11">
        <v>8.6</v>
      </c>
      <c r="O81" s="11">
        <v>5.9</v>
      </c>
      <c r="P81" s="11">
        <v>8.5</v>
      </c>
    </row>
    <row r="82" spans="1:16" x14ac:dyDescent="0.3">
      <c r="A82" s="8" t="s">
        <v>76</v>
      </c>
      <c r="B82" s="9">
        <v>39083</v>
      </c>
      <c r="C82" s="10" t="s">
        <v>205</v>
      </c>
      <c r="D82" s="11">
        <v>76.900000000000006</v>
      </c>
      <c r="E82" s="11">
        <v>5.9</v>
      </c>
      <c r="F82" s="11">
        <v>5.6</v>
      </c>
      <c r="G82" s="11">
        <v>4.7</v>
      </c>
      <c r="H82" s="11">
        <v>7.5</v>
      </c>
      <c r="I82" s="11">
        <v>7.2</v>
      </c>
      <c r="J82" s="11">
        <v>8</v>
      </c>
      <c r="K82" s="11">
        <v>7.4</v>
      </c>
      <c r="L82" s="11">
        <v>8</v>
      </c>
      <c r="M82" s="11">
        <v>7</v>
      </c>
      <c r="N82" s="11">
        <v>8.6</v>
      </c>
      <c r="O82" s="11">
        <v>2.2000000000000002</v>
      </c>
      <c r="P82" s="11">
        <v>8.5</v>
      </c>
    </row>
    <row r="83" spans="1:16" x14ac:dyDescent="0.3">
      <c r="A83" s="8" t="s">
        <v>73</v>
      </c>
      <c r="B83" s="9">
        <v>39083</v>
      </c>
      <c r="C83" s="10" t="s">
        <v>204</v>
      </c>
      <c r="D83" s="11">
        <v>76.599999999999994</v>
      </c>
      <c r="E83" s="11">
        <v>6.4</v>
      </c>
      <c r="F83" s="11">
        <v>6.5</v>
      </c>
      <c r="G83" s="11">
        <v>6.5</v>
      </c>
      <c r="H83" s="11">
        <v>6.6</v>
      </c>
      <c r="I83" s="11">
        <v>7.7</v>
      </c>
      <c r="J83" s="11">
        <v>5</v>
      </c>
      <c r="K83" s="11">
        <v>6.2</v>
      </c>
      <c r="L83" s="11">
        <v>5.6</v>
      </c>
      <c r="M83" s="11">
        <v>6.2</v>
      </c>
      <c r="N83" s="11">
        <v>8.6</v>
      </c>
      <c r="O83" s="11">
        <v>6.8</v>
      </c>
      <c r="P83" s="11">
        <v>8.5</v>
      </c>
    </row>
    <row r="84" spans="1:16" x14ac:dyDescent="0.3">
      <c r="A84" s="8" t="s">
        <v>77</v>
      </c>
      <c r="B84" s="9">
        <v>39083</v>
      </c>
      <c r="C84" s="10" t="s">
        <v>268</v>
      </c>
      <c r="D84" s="11">
        <v>76.5</v>
      </c>
      <c r="E84" s="11">
        <v>6.1</v>
      </c>
      <c r="F84" s="11">
        <v>6.7</v>
      </c>
      <c r="G84" s="11">
        <v>5.0999999999999996</v>
      </c>
      <c r="H84" s="11">
        <v>7.5</v>
      </c>
      <c r="I84" s="11">
        <v>7</v>
      </c>
      <c r="J84" s="11">
        <v>5</v>
      </c>
      <c r="K84" s="11">
        <v>5.7</v>
      </c>
      <c r="L84" s="11">
        <v>8.6999999999999993</v>
      </c>
      <c r="M84" s="11">
        <v>5.7</v>
      </c>
      <c r="N84" s="11">
        <v>8.6</v>
      </c>
      <c r="O84" s="11">
        <v>3</v>
      </c>
      <c r="P84" s="11">
        <v>8.5</v>
      </c>
    </row>
    <row r="85" spans="1:16" x14ac:dyDescent="0.3">
      <c r="A85" s="8" t="s">
        <v>74</v>
      </c>
      <c r="B85" s="9">
        <v>39083</v>
      </c>
      <c r="C85" s="10" t="s">
        <v>268</v>
      </c>
      <c r="D85" s="11">
        <v>76.5</v>
      </c>
      <c r="E85" s="11">
        <v>7.3</v>
      </c>
      <c r="F85" s="11">
        <v>7.6</v>
      </c>
      <c r="G85" s="11">
        <v>7.7</v>
      </c>
      <c r="H85" s="11">
        <v>2.2999999999999998</v>
      </c>
      <c r="I85" s="11">
        <v>6.5</v>
      </c>
      <c r="J85" s="11">
        <v>3.6</v>
      </c>
      <c r="K85" s="11">
        <v>8.8000000000000007</v>
      </c>
      <c r="L85" s="11">
        <v>4.3</v>
      </c>
      <c r="M85" s="11">
        <v>8.8000000000000007</v>
      </c>
      <c r="N85" s="11">
        <v>8.6</v>
      </c>
      <c r="O85" s="11">
        <v>7.2</v>
      </c>
      <c r="P85" s="11">
        <v>8.5</v>
      </c>
    </row>
    <row r="86" spans="1:16" x14ac:dyDescent="0.3">
      <c r="A86" s="8" t="s">
        <v>72</v>
      </c>
      <c r="B86" s="9">
        <v>39083</v>
      </c>
      <c r="C86" s="10" t="s">
        <v>307</v>
      </c>
      <c r="D86" s="11">
        <v>76.400000000000006</v>
      </c>
      <c r="E86" s="11">
        <v>7.7</v>
      </c>
      <c r="F86" s="11">
        <v>7</v>
      </c>
      <c r="G86" s="11">
        <v>6.9</v>
      </c>
      <c r="H86" s="11">
        <v>5.6</v>
      </c>
      <c r="I86" s="11">
        <v>8.1</v>
      </c>
      <c r="J86" s="11">
        <v>7.5</v>
      </c>
      <c r="K86" s="11">
        <v>6.6</v>
      </c>
      <c r="L86" s="11">
        <v>6.2</v>
      </c>
      <c r="M86" s="11">
        <v>5.2</v>
      </c>
      <c r="N86" s="11">
        <v>8.6</v>
      </c>
      <c r="O86" s="11">
        <v>4</v>
      </c>
      <c r="P86" s="11">
        <v>8.5</v>
      </c>
    </row>
    <row r="87" spans="1:16" x14ac:dyDescent="0.3">
      <c r="A87" s="8" t="s">
        <v>75</v>
      </c>
      <c r="B87" s="9">
        <v>39083</v>
      </c>
      <c r="C87" s="10" t="s">
        <v>267</v>
      </c>
      <c r="D87" s="11">
        <v>76</v>
      </c>
      <c r="E87" s="11">
        <v>5.8</v>
      </c>
      <c r="F87" s="11">
        <v>5.9</v>
      </c>
      <c r="G87" s="11">
        <v>4.2</v>
      </c>
      <c r="H87" s="11">
        <v>8</v>
      </c>
      <c r="I87" s="11">
        <v>7</v>
      </c>
      <c r="J87" s="11">
        <v>6</v>
      </c>
      <c r="K87" s="11">
        <v>7.9</v>
      </c>
      <c r="L87" s="11">
        <v>6.6</v>
      </c>
      <c r="M87" s="11">
        <v>6.8</v>
      </c>
      <c r="N87" s="11">
        <v>8.6</v>
      </c>
      <c r="O87" s="11">
        <v>5.2</v>
      </c>
      <c r="P87" s="11">
        <v>8.5</v>
      </c>
    </row>
    <row r="88" spans="1:16" x14ac:dyDescent="0.3">
      <c r="A88" s="8" t="s">
        <v>79</v>
      </c>
      <c r="B88" s="9">
        <v>39083</v>
      </c>
      <c r="C88" s="10" t="s">
        <v>267</v>
      </c>
      <c r="D88" s="11">
        <v>76</v>
      </c>
      <c r="E88" s="11">
        <v>5.2</v>
      </c>
      <c r="F88" s="11">
        <v>5.4</v>
      </c>
      <c r="G88" s="11">
        <v>6.8</v>
      </c>
      <c r="H88" s="11">
        <v>6.6</v>
      </c>
      <c r="I88" s="11">
        <v>7.3</v>
      </c>
      <c r="J88" s="11">
        <v>6.2</v>
      </c>
      <c r="K88" s="11">
        <v>7.8</v>
      </c>
      <c r="L88" s="11">
        <v>6</v>
      </c>
      <c r="M88" s="11">
        <v>6.6</v>
      </c>
      <c r="N88" s="11">
        <v>8.6</v>
      </c>
      <c r="O88" s="11">
        <v>7.5</v>
      </c>
      <c r="P88" s="11">
        <v>8.5</v>
      </c>
    </row>
    <row r="89" spans="1:16" x14ac:dyDescent="0.3">
      <c r="A89" s="8" t="s">
        <v>80</v>
      </c>
      <c r="B89" s="9">
        <v>39083</v>
      </c>
      <c r="C89" s="10" t="s">
        <v>267</v>
      </c>
      <c r="D89" s="11">
        <v>76</v>
      </c>
      <c r="E89" s="11">
        <v>7.2</v>
      </c>
      <c r="F89" s="11">
        <v>8</v>
      </c>
      <c r="G89" s="11">
        <v>7.8</v>
      </c>
      <c r="H89" s="11">
        <v>3</v>
      </c>
      <c r="I89" s="11">
        <v>7.5</v>
      </c>
      <c r="J89" s="11">
        <v>4.4000000000000004</v>
      </c>
      <c r="K89" s="11">
        <v>8</v>
      </c>
      <c r="L89" s="11">
        <v>5.5</v>
      </c>
      <c r="M89" s="11">
        <v>6.3</v>
      </c>
      <c r="N89" s="11">
        <v>8.6</v>
      </c>
      <c r="O89" s="11">
        <v>5.8</v>
      </c>
      <c r="P89" s="11">
        <v>8.5</v>
      </c>
    </row>
    <row r="90" spans="1:16" x14ac:dyDescent="0.3">
      <c r="A90" s="12" t="s">
        <v>71</v>
      </c>
      <c r="B90" s="9">
        <v>39083</v>
      </c>
      <c r="C90" s="10" t="s">
        <v>206</v>
      </c>
      <c r="D90" s="11">
        <v>75.900000000000006</v>
      </c>
      <c r="E90" s="11">
        <v>6.4</v>
      </c>
      <c r="F90" s="11">
        <v>5.9</v>
      </c>
      <c r="G90" s="11">
        <v>7</v>
      </c>
      <c r="H90" s="11">
        <v>3.5</v>
      </c>
      <c r="I90" s="11">
        <v>7.3</v>
      </c>
      <c r="J90" s="11">
        <v>5.6</v>
      </c>
      <c r="K90" s="11">
        <v>7.3</v>
      </c>
      <c r="L90" s="11">
        <v>7</v>
      </c>
      <c r="M90" s="11">
        <v>7.4</v>
      </c>
      <c r="N90" s="11">
        <v>8.6</v>
      </c>
      <c r="O90" s="11">
        <v>6.7</v>
      </c>
      <c r="P90" s="11">
        <v>8.5</v>
      </c>
    </row>
    <row r="91" spans="1:16" x14ac:dyDescent="0.3">
      <c r="A91" s="8" t="s">
        <v>78</v>
      </c>
      <c r="B91" s="9">
        <v>39083</v>
      </c>
      <c r="C91" s="10" t="s">
        <v>235</v>
      </c>
      <c r="D91" s="11">
        <v>75.7</v>
      </c>
      <c r="E91" s="11">
        <v>7</v>
      </c>
      <c r="F91" s="11">
        <v>8.1999999999999993</v>
      </c>
      <c r="G91" s="11">
        <v>7.5</v>
      </c>
      <c r="H91" s="11">
        <v>5.9</v>
      </c>
      <c r="I91" s="11">
        <v>7.5</v>
      </c>
      <c r="J91" s="11">
        <v>5.4</v>
      </c>
      <c r="K91" s="11">
        <v>9</v>
      </c>
      <c r="L91" s="11">
        <v>4.0999999999999996</v>
      </c>
      <c r="M91" s="11">
        <v>5.9</v>
      </c>
      <c r="N91" s="11">
        <v>8.6</v>
      </c>
      <c r="O91" s="11">
        <v>4</v>
      </c>
      <c r="P91" s="11">
        <v>8.5</v>
      </c>
    </row>
    <row r="92" spans="1:16" x14ac:dyDescent="0.3">
      <c r="A92" s="8" t="s">
        <v>81</v>
      </c>
      <c r="B92" s="9">
        <v>39083</v>
      </c>
      <c r="C92" s="10" t="s">
        <v>266</v>
      </c>
      <c r="D92" s="11">
        <v>75.5</v>
      </c>
      <c r="E92" s="11">
        <v>4.8</v>
      </c>
      <c r="F92" s="11">
        <v>3.7</v>
      </c>
      <c r="G92" s="11">
        <v>6.1</v>
      </c>
      <c r="H92" s="11">
        <v>8.6999999999999993</v>
      </c>
      <c r="I92" s="11">
        <v>6.6</v>
      </c>
      <c r="J92" s="11">
        <v>7.9</v>
      </c>
      <c r="K92" s="11">
        <v>4.7</v>
      </c>
      <c r="L92" s="11">
        <v>8.6</v>
      </c>
      <c r="M92" s="11">
        <v>4.5999999999999996</v>
      </c>
      <c r="N92" s="11">
        <v>8.6</v>
      </c>
      <c r="O92" s="11">
        <v>4.4000000000000004</v>
      </c>
      <c r="P92" s="11">
        <v>8.5</v>
      </c>
    </row>
    <row r="93" spans="1:16" x14ac:dyDescent="0.3">
      <c r="A93" s="8" t="s">
        <v>82</v>
      </c>
      <c r="B93" s="9">
        <v>39083</v>
      </c>
      <c r="C93" s="10" t="s">
        <v>306</v>
      </c>
      <c r="D93" s="11">
        <v>74.900000000000006</v>
      </c>
      <c r="E93" s="11">
        <v>5.8</v>
      </c>
      <c r="F93" s="11">
        <v>3.9</v>
      </c>
      <c r="G93" s="11">
        <v>6</v>
      </c>
      <c r="H93" s="11">
        <v>5.4</v>
      </c>
      <c r="I93" s="11">
        <v>7.3</v>
      </c>
      <c r="J93" s="11">
        <v>7</v>
      </c>
      <c r="K93" s="11">
        <v>7</v>
      </c>
      <c r="L93" s="11">
        <v>6.9</v>
      </c>
      <c r="M93" s="11">
        <v>6.9</v>
      </c>
      <c r="N93" s="11">
        <v>8.6</v>
      </c>
      <c r="O93" s="11">
        <v>5.6</v>
      </c>
      <c r="P93" s="11">
        <v>8.5</v>
      </c>
    </row>
    <row r="94" spans="1:16" x14ac:dyDescent="0.3">
      <c r="A94" s="8" t="s">
        <v>83</v>
      </c>
      <c r="B94" s="9">
        <v>39083</v>
      </c>
      <c r="C94" s="10" t="s">
        <v>306</v>
      </c>
      <c r="D94" s="11">
        <v>74.900000000000006</v>
      </c>
      <c r="E94" s="11">
        <v>6.7</v>
      </c>
      <c r="F94" s="11">
        <v>7.1</v>
      </c>
      <c r="G94" s="11">
        <v>7.4</v>
      </c>
      <c r="H94" s="11">
        <v>4.7</v>
      </c>
      <c r="I94" s="11">
        <v>8.6999999999999993</v>
      </c>
      <c r="J94" s="11">
        <v>5</v>
      </c>
      <c r="K94" s="11">
        <v>6.1</v>
      </c>
      <c r="L94" s="11">
        <v>5.4</v>
      </c>
      <c r="M94" s="11">
        <v>5.0999999999999996</v>
      </c>
      <c r="N94" s="11">
        <v>8.6</v>
      </c>
      <c r="O94" s="11">
        <v>5.8</v>
      </c>
      <c r="P94" s="11">
        <v>8.5</v>
      </c>
    </row>
    <row r="95" spans="1:16" x14ac:dyDescent="0.3">
      <c r="A95" s="8" t="s">
        <v>85</v>
      </c>
      <c r="B95" s="9">
        <v>39083</v>
      </c>
      <c r="C95" s="10" t="s">
        <v>279</v>
      </c>
      <c r="D95" s="11">
        <v>74.8</v>
      </c>
      <c r="E95" s="11">
        <v>5.9</v>
      </c>
      <c r="F95" s="11">
        <v>6.3</v>
      </c>
      <c r="G95" s="11">
        <v>5.3</v>
      </c>
      <c r="H95" s="11">
        <v>7.6</v>
      </c>
      <c r="I95" s="11">
        <v>8.6999999999999993</v>
      </c>
      <c r="J95" s="11">
        <v>6</v>
      </c>
      <c r="K95" s="11">
        <v>7.4</v>
      </c>
      <c r="L95" s="11">
        <v>6.6</v>
      </c>
      <c r="M95" s="11">
        <v>5.8</v>
      </c>
      <c r="N95" s="11">
        <v>8.6</v>
      </c>
      <c r="O95" s="11">
        <v>2</v>
      </c>
      <c r="P95" s="11">
        <v>8.5</v>
      </c>
    </row>
    <row r="96" spans="1:16" x14ac:dyDescent="0.3">
      <c r="A96" s="8" t="s">
        <v>87</v>
      </c>
      <c r="B96" s="9">
        <v>39083</v>
      </c>
      <c r="C96" s="10" t="s">
        <v>200</v>
      </c>
      <c r="D96" s="11">
        <v>74.099999999999994</v>
      </c>
      <c r="E96" s="11">
        <v>6.1</v>
      </c>
      <c r="F96" s="11">
        <v>6.4</v>
      </c>
      <c r="G96" s="11">
        <v>7.1</v>
      </c>
      <c r="H96" s="11">
        <v>5.9</v>
      </c>
      <c r="I96" s="11">
        <v>7.4</v>
      </c>
      <c r="J96" s="11">
        <v>7</v>
      </c>
      <c r="K96" s="11">
        <v>7.3</v>
      </c>
      <c r="L96" s="11">
        <v>5.0999999999999996</v>
      </c>
      <c r="M96" s="11">
        <v>5.3</v>
      </c>
      <c r="N96" s="11">
        <v>8.6</v>
      </c>
      <c r="O96" s="11">
        <v>4.7</v>
      </c>
      <c r="P96" s="11">
        <v>8.5</v>
      </c>
    </row>
    <row r="97" spans="1:16" x14ac:dyDescent="0.3">
      <c r="A97" s="8" t="s">
        <v>92</v>
      </c>
      <c r="B97" s="9">
        <v>39083</v>
      </c>
      <c r="C97" s="10" t="s">
        <v>332</v>
      </c>
      <c r="D97" s="11">
        <v>73.900000000000006</v>
      </c>
      <c r="E97" s="11">
        <v>6.2</v>
      </c>
      <c r="F97" s="11">
        <v>5.0999999999999996</v>
      </c>
      <c r="G97" s="11">
        <v>6.1</v>
      </c>
      <c r="H97" s="11">
        <v>6.9</v>
      </c>
      <c r="I97" s="11">
        <v>8.3000000000000007</v>
      </c>
      <c r="J97" s="11">
        <v>6.7</v>
      </c>
      <c r="K97" s="11">
        <v>6.4</v>
      </c>
      <c r="L97" s="11">
        <v>4.9000000000000004</v>
      </c>
      <c r="M97" s="11">
        <v>5.7</v>
      </c>
      <c r="N97" s="11">
        <v>8.6</v>
      </c>
      <c r="O97" s="11">
        <v>4.2</v>
      </c>
      <c r="P97" s="11">
        <v>8.5</v>
      </c>
    </row>
    <row r="98" spans="1:16" x14ac:dyDescent="0.3">
      <c r="A98" s="8" t="s">
        <v>93</v>
      </c>
      <c r="B98" s="9">
        <v>39083</v>
      </c>
      <c r="C98" s="10" t="s">
        <v>293</v>
      </c>
      <c r="D98" s="11">
        <v>73.8</v>
      </c>
      <c r="E98" s="11">
        <v>6.7</v>
      </c>
      <c r="F98" s="11">
        <v>5.4</v>
      </c>
      <c r="G98" s="11">
        <v>5</v>
      </c>
      <c r="H98" s="11">
        <v>6.3</v>
      </c>
      <c r="I98" s="11">
        <v>7.2</v>
      </c>
      <c r="J98" s="11">
        <v>7.9</v>
      </c>
      <c r="K98" s="11">
        <v>6.7</v>
      </c>
      <c r="L98" s="11">
        <v>4.7</v>
      </c>
      <c r="M98" s="11">
        <v>4.9000000000000004</v>
      </c>
      <c r="N98" s="11">
        <v>8.6</v>
      </c>
      <c r="O98" s="11">
        <v>3.8</v>
      </c>
      <c r="P98" s="11">
        <v>8.5</v>
      </c>
    </row>
    <row r="99" spans="1:16" x14ac:dyDescent="0.3">
      <c r="A99" s="8" t="s">
        <v>88</v>
      </c>
      <c r="B99" s="9">
        <v>39083</v>
      </c>
      <c r="C99" s="10" t="s">
        <v>280</v>
      </c>
      <c r="D99" s="11">
        <v>73.5</v>
      </c>
      <c r="E99" s="11">
        <v>6</v>
      </c>
      <c r="F99" s="11">
        <v>5.4</v>
      </c>
      <c r="G99" s="11">
        <v>5</v>
      </c>
      <c r="H99" s="11">
        <v>6.5</v>
      </c>
      <c r="I99" s="11">
        <v>7.1</v>
      </c>
      <c r="J99" s="11">
        <v>8.1</v>
      </c>
      <c r="K99" s="11">
        <v>6.9</v>
      </c>
      <c r="L99" s="11">
        <v>7.1</v>
      </c>
      <c r="M99" s="11">
        <v>2.5</v>
      </c>
      <c r="N99" s="11">
        <v>8.6</v>
      </c>
      <c r="O99" s="11">
        <v>3.2</v>
      </c>
      <c r="P99" s="11">
        <v>8.5</v>
      </c>
    </row>
    <row r="100" spans="1:16" x14ac:dyDescent="0.3">
      <c r="A100" s="8" t="s">
        <v>84</v>
      </c>
      <c r="B100" s="9">
        <v>39083</v>
      </c>
      <c r="C100" s="10" t="s">
        <v>339</v>
      </c>
      <c r="D100" s="11">
        <v>73.3</v>
      </c>
      <c r="E100" s="11">
        <v>5.3</v>
      </c>
      <c r="F100" s="11">
        <v>7.2</v>
      </c>
      <c r="G100" s="11">
        <v>3</v>
      </c>
      <c r="H100" s="11">
        <v>4.9000000000000004</v>
      </c>
      <c r="I100" s="11">
        <v>7.8</v>
      </c>
      <c r="J100" s="11">
        <v>6</v>
      </c>
      <c r="K100" s="11">
        <v>7.3</v>
      </c>
      <c r="L100" s="11">
        <v>7</v>
      </c>
      <c r="M100" s="11">
        <v>6.7</v>
      </c>
      <c r="N100" s="11">
        <v>8.6</v>
      </c>
      <c r="O100" s="11">
        <v>5.7</v>
      </c>
      <c r="P100" s="11">
        <v>8.5</v>
      </c>
    </row>
    <row r="101" spans="1:16" x14ac:dyDescent="0.3">
      <c r="A101" s="8" t="s">
        <v>96</v>
      </c>
      <c r="B101" s="9">
        <v>39083</v>
      </c>
      <c r="C101" s="10" t="s">
        <v>339</v>
      </c>
      <c r="D101" s="11">
        <v>73.3</v>
      </c>
      <c r="E101" s="11">
        <v>5.9</v>
      </c>
      <c r="F101" s="11">
        <v>4.9000000000000004</v>
      </c>
      <c r="G101" s="11">
        <v>5.4</v>
      </c>
      <c r="H101" s="11">
        <v>6.8</v>
      </c>
      <c r="I101" s="11">
        <v>8.1</v>
      </c>
      <c r="J101" s="11">
        <v>7.9</v>
      </c>
      <c r="K101" s="11">
        <v>6.4</v>
      </c>
      <c r="L101" s="11">
        <v>5.7</v>
      </c>
      <c r="M101" s="11">
        <v>5.6</v>
      </c>
      <c r="N101" s="11">
        <v>8.6</v>
      </c>
      <c r="O101" s="11">
        <v>4.0999999999999996</v>
      </c>
      <c r="P101" s="11">
        <v>8.5</v>
      </c>
    </row>
    <row r="102" spans="1:16" x14ac:dyDescent="0.3">
      <c r="A102" s="8" t="s">
        <v>95</v>
      </c>
      <c r="B102" s="9">
        <v>39083</v>
      </c>
      <c r="C102" s="10" t="s">
        <v>281</v>
      </c>
      <c r="D102" s="11">
        <v>72.900000000000006</v>
      </c>
      <c r="E102" s="11">
        <v>4.3</v>
      </c>
      <c r="F102" s="11">
        <v>7.5</v>
      </c>
      <c r="G102" s="11">
        <v>6.2</v>
      </c>
      <c r="H102" s="11">
        <v>6.7</v>
      </c>
      <c r="I102" s="11">
        <v>7.4</v>
      </c>
      <c r="J102" s="11">
        <v>6</v>
      </c>
      <c r="K102" s="11">
        <v>8.1</v>
      </c>
      <c r="L102" s="11">
        <v>6.5</v>
      </c>
      <c r="M102" s="11">
        <v>7.9</v>
      </c>
      <c r="N102" s="11">
        <v>8.6</v>
      </c>
      <c r="O102" s="11">
        <v>1.6</v>
      </c>
      <c r="P102" s="11">
        <v>8.5</v>
      </c>
    </row>
    <row r="103" spans="1:16" x14ac:dyDescent="0.3">
      <c r="A103" s="8" t="s">
        <v>97</v>
      </c>
      <c r="B103" s="9">
        <v>39083</v>
      </c>
      <c r="C103" s="10" t="s">
        <v>233</v>
      </c>
      <c r="D103" s="11">
        <v>72.599999999999994</v>
      </c>
      <c r="E103" s="11">
        <v>6.1</v>
      </c>
      <c r="F103" s="11">
        <v>4.8</v>
      </c>
      <c r="G103" s="11">
        <v>6.1</v>
      </c>
      <c r="H103" s="11">
        <v>6.2</v>
      </c>
      <c r="I103" s="11">
        <v>8.4</v>
      </c>
      <c r="J103" s="11">
        <v>7</v>
      </c>
      <c r="K103" s="11">
        <v>6.1</v>
      </c>
      <c r="L103" s="11">
        <v>5.7</v>
      </c>
      <c r="M103" s="11">
        <v>5.0999999999999996</v>
      </c>
      <c r="N103" s="11">
        <v>8.6</v>
      </c>
      <c r="O103" s="11">
        <v>4</v>
      </c>
      <c r="P103" s="11">
        <v>8.5</v>
      </c>
    </row>
    <row r="104" spans="1:16" x14ac:dyDescent="0.3">
      <c r="A104" s="8" t="s">
        <v>94</v>
      </c>
      <c r="B104" s="9">
        <v>39083</v>
      </c>
      <c r="C104" s="10" t="s">
        <v>232</v>
      </c>
      <c r="D104" s="11">
        <v>72.3</v>
      </c>
      <c r="E104" s="11">
        <v>6.7</v>
      </c>
      <c r="F104" s="11">
        <v>7.7</v>
      </c>
      <c r="G104" s="11">
        <v>5.2</v>
      </c>
      <c r="H104" s="11">
        <v>6.6</v>
      </c>
      <c r="I104" s="11">
        <v>6.2</v>
      </c>
      <c r="J104" s="11">
        <v>4</v>
      </c>
      <c r="K104" s="11">
        <v>7.5</v>
      </c>
      <c r="L104" s="11">
        <v>6.1</v>
      </c>
      <c r="M104" s="11">
        <v>7</v>
      </c>
      <c r="N104" s="11">
        <v>8.6</v>
      </c>
      <c r="O104" s="11">
        <v>3</v>
      </c>
      <c r="P104" s="11">
        <v>8.5</v>
      </c>
    </row>
    <row r="105" spans="1:16" x14ac:dyDescent="0.3">
      <c r="A105" s="8" t="s">
        <v>91</v>
      </c>
      <c r="B105" s="9">
        <v>39083</v>
      </c>
      <c r="C105" s="10" t="s">
        <v>282</v>
      </c>
      <c r="D105" s="11">
        <v>72</v>
      </c>
      <c r="E105" s="11">
        <v>5.2</v>
      </c>
      <c r="F105" s="11">
        <v>3.8</v>
      </c>
      <c r="G105" s="11">
        <v>4</v>
      </c>
      <c r="H105" s="11">
        <v>7.1</v>
      </c>
      <c r="I105" s="11">
        <v>7.4</v>
      </c>
      <c r="J105" s="11">
        <v>6.9</v>
      </c>
      <c r="K105" s="11">
        <v>6.4</v>
      </c>
      <c r="L105" s="11">
        <v>8.1</v>
      </c>
      <c r="M105" s="11">
        <v>4.8</v>
      </c>
      <c r="N105" s="11">
        <v>8.6</v>
      </c>
      <c r="O105" s="11">
        <v>5.2</v>
      </c>
      <c r="P105" s="11">
        <v>8.5</v>
      </c>
    </row>
    <row r="106" spans="1:16" x14ac:dyDescent="0.3">
      <c r="A106" s="8" t="s">
        <v>105</v>
      </c>
      <c r="B106" s="9">
        <v>39083</v>
      </c>
      <c r="C106" s="10" t="s">
        <v>230</v>
      </c>
      <c r="D106" s="11">
        <v>71.599999999999994</v>
      </c>
      <c r="E106" s="11">
        <v>5.9</v>
      </c>
      <c r="F106" s="11">
        <v>5.7</v>
      </c>
      <c r="G106" s="11">
        <v>5</v>
      </c>
      <c r="H106" s="11">
        <v>6.5</v>
      </c>
      <c r="I106" s="11">
        <v>7.1</v>
      </c>
      <c r="J106" s="11">
        <v>7.9</v>
      </c>
      <c r="K106" s="11">
        <v>6.5</v>
      </c>
      <c r="L106" s="11">
        <v>4.0999999999999996</v>
      </c>
      <c r="M106" s="11">
        <v>5.0999999999999996</v>
      </c>
      <c r="N106" s="11">
        <v>8.6</v>
      </c>
      <c r="O106" s="11">
        <v>3.6</v>
      </c>
      <c r="P106" s="11">
        <v>8.5</v>
      </c>
    </row>
    <row r="107" spans="1:16" x14ac:dyDescent="0.3">
      <c r="A107" s="8" t="s">
        <v>99</v>
      </c>
      <c r="B107" s="9">
        <v>39083</v>
      </c>
      <c r="C107" s="10" t="s">
        <v>231</v>
      </c>
      <c r="D107" s="11">
        <v>71.400000000000006</v>
      </c>
      <c r="E107" s="11">
        <v>3</v>
      </c>
      <c r="F107" s="11">
        <v>7.9</v>
      </c>
      <c r="G107" s="11">
        <v>7</v>
      </c>
      <c r="H107" s="11">
        <v>5</v>
      </c>
      <c r="I107" s="11">
        <v>7</v>
      </c>
      <c r="J107" s="11">
        <v>7.5</v>
      </c>
      <c r="K107" s="11">
        <v>7.5</v>
      </c>
      <c r="L107" s="11">
        <v>4.5</v>
      </c>
      <c r="M107" s="11">
        <v>5.9</v>
      </c>
      <c r="N107" s="11">
        <v>8.6</v>
      </c>
      <c r="O107" s="11">
        <v>3.6</v>
      </c>
      <c r="P107" s="11">
        <v>8.5</v>
      </c>
    </row>
    <row r="108" spans="1:16" x14ac:dyDescent="0.3">
      <c r="A108" s="8" t="s">
        <v>89</v>
      </c>
      <c r="B108" s="9">
        <v>39083</v>
      </c>
      <c r="C108" s="10" t="s">
        <v>340</v>
      </c>
      <c r="D108" s="11">
        <v>71.3</v>
      </c>
      <c r="E108" s="11">
        <v>5.5</v>
      </c>
      <c r="F108" s="11">
        <v>3.2</v>
      </c>
      <c r="G108" s="11">
        <v>5.4</v>
      </c>
      <c r="H108" s="11">
        <v>5.9</v>
      </c>
      <c r="I108" s="11">
        <v>8.1999999999999993</v>
      </c>
      <c r="J108" s="11">
        <v>7.9</v>
      </c>
      <c r="K108" s="11">
        <v>4.4000000000000004</v>
      </c>
      <c r="L108" s="11">
        <v>7.5</v>
      </c>
      <c r="M108" s="11">
        <v>5.7</v>
      </c>
      <c r="N108" s="11">
        <v>8.6</v>
      </c>
      <c r="O108" s="11">
        <v>5.0999999999999996</v>
      </c>
      <c r="P108" s="11">
        <v>8.5</v>
      </c>
    </row>
    <row r="109" spans="1:16" x14ac:dyDescent="0.3">
      <c r="A109" s="8" t="s">
        <v>104</v>
      </c>
      <c r="B109" s="9">
        <v>39083</v>
      </c>
      <c r="C109" s="10" t="s">
        <v>340</v>
      </c>
      <c r="D109" s="11">
        <v>71.3</v>
      </c>
      <c r="E109" s="11">
        <v>6.2</v>
      </c>
      <c r="F109" s="11">
        <v>6.7</v>
      </c>
      <c r="G109" s="11">
        <v>5.5</v>
      </c>
      <c r="H109" s="11">
        <v>4</v>
      </c>
      <c r="I109" s="11">
        <v>6.9</v>
      </c>
      <c r="J109" s="11">
        <v>4.7</v>
      </c>
      <c r="K109" s="11">
        <v>7.9</v>
      </c>
      <c r="L109" s="11">
        <v>4.0999999999999996</v>
      </c>
      <c r="M109" s="11">
        <v>6.7</v>
      </c>
      <c r="N109" s="11">
        <v>8.6</v>
      </c>
      <c r="O109" s="11">
        <v>5</v>
      </c>
      <c r="P109" s="11">
        <v>8.5</v>
      </c>
    </row>
    <row r="110" spans="1:16" ht="28.8" x14ac:dyDescent="0.3">
      <c r="A110" s="12" t="s">
        <v>342</v>
      </c>
      <c r="B110" s="9">
        <v>39083</v>
      </c>
      <c r="C110" s="10" t="s">
        <v>229</v>
      </c>
      <c r="D110" s="11">
        <v>71.2</v>
      </c>
      <c r="E110" s="11">
        <v>6.9</v>
      </c>
      <c r="F110" s="11">
        <v>7.4</v>
      </c>
      <c r="G110" s="11">
        <v>7.4</v>
      </c>
      <c r="H110" s="11">
        <v>3.2</v>
      </c>
      <c r="I110" s="11">
        <v>7.9</v>
      </c>
      <c r="J110" s="11">
        <v>4.2</v>
      </c>
      <c r="K110" s="11">
        <v>7.7</v>
      </c>
      <c r="L110" s="11">
        <v>3.3</v>
      </c>
      <c r="M110" s="11">
        <v>6.6</v>
      </c>
      <c r="N110" s="11">
        <v>8.6</v>
      </c>
      <c r="O110" s="11">
        <v>5.6</v>
      </c>
      <c r="P110" s="11">
        <v>8.5</v>
      </c>
    </row>
    <row r="111" spans="1:16" x14ac:dyDescent="0.3">
      <c r="A111" s="8" t="s">
        <v>90</v>
      </c>
      <c r="B111" s="9">
        <v>39083</v>
      </c>
      <c r="C111" s="10" t="s">
        <v>197</v>
      </c>
      <c r="D111" s="11">
        <v>70.8</v>
      </c>
      <c r="E111" s="11">
        <v>5</v>
      </c>
      <c r="F111" s="11">
        <v>5.6</v>
      </c>
      <c r="G111" s="11">
        <v>7</v>
      </c>
      <c r="H111" s="11">
        <v>4.5999999999999996</v>
      </c>
      <c r="I111" s="11">
        <v>8.9</v>
      </c>
      <c r="J111" s="11">
        <v>7.1</v>
      </c>
      <c r="K111" s="11">
        <v>4.8</v>
      </c>
      <c r="L111" s="11">
        <v>6.7</v>
      </c>
      <c r="M111" s="11">
        <v>5.4</v>
      </c>
      <c r="N111" s="11">
        <v>8.6</v>
      </c>
      <c r="O111" s="11">
        <v>3.2</v>
      </c>
      <c r="P111" s="11">
        <v>8.5</v>
      </c>
    </row>
    <row r="112" spans="1:16" x14ac:dyDescent="0.3">
      <c r="A112" s="12" t="s">
        <v>345</v>
      </c>
      <c r="B112" s="9">
        <v>39083</v>
      </c>
      <c r="C112" s="10" t="s">
        <v>199</v>
      </c>
      <c r="D112" s="11">
        <v>70.5</v>
      </c>
      <c r="E112" s="11">
        <v>5.5</v>
      </c>
      <c r="F112" s="11">
        <v>5.4</v>
      </c>
      <c r="G112" s="11">
        <v>5.4</v>
      </c>
      <c r="H112" s="11">
        <v>6.8</v>
      </c>
      <c r="I112" s="11">
        <v>6.1</v>
      </c>
      <c r="J112" s="11">
        <v>7.5</v>
      </c>
      <c r="K112" s="11">
        <v>7.4</v>
      </c>
      <c r="L112" s="11">
        <v>6.2</v>
      </c>
      <c r="M112" s="11">
        <v>5.4</v>
      </c>
      <c r="N112" s="11">
        <v>8.6</v>
      </c>
      <c r="O112" s="11">
        <v>2.7</v>
      </c>
      <c r="P112" s="11">
        <v>8.5</v>
      </c>
    </row>
    <row r="113" spans="1:16" x14ac:dyDescent="0.3">
      <c r="A113" s="8" t="s">
        <v>100</v>
      </c>
      <c r="B113" s="9">
        <v>39083</v>
      </c>
      <c r="C113" s="10" t="s">
        <v>234</v>
      </c>
      <c r="D113" s="11">
        <v>70.3</v>
      </c>
      <c r="E113" s="11">
        <v>4.5</v>
      </c>
      <c r="F113" s="11">
        <v>5.8</v>
      </c>
      <c r="G113" s="11">
        <v>5</v>
      </c>
      <c r="H113" s="11">
        <v>5</v>
      </c>
      <c r="I113" s="11">
        <v>6</v>
      </c>
      <c r="J113" s="11">
        <v>6.9</v>
      </c>
      <c r="K113" s="11">
        <v>6.5</v>
      </c>
      <c r="L113" s="11">
        <v>6.2</v>
      </c>
      <c r="M113" s="11">
        <v>5.5</v>
      </c>
      <c r="N113" s="11">
        <v>8.6</v>
      </c>
      <c r="O113" s="11">
        <v>7.6</v>
      </c>
      <c r="P113" s="11">
        <v>8.5</v>
      </c>
    </row>
    <row r="114" spans="1:16" x14ac:dyDescent="0.3">
      <c r="A114" s="8" t="s">
        <v>103</v>
      </c>
      <c r="B114" s="9">
        <v>39083</v>
      </c>
      <c r="C114" s="10" t="s">
        <v>198</v>
      </c>
      <c r="D114" s="11">
        <v>70.2</v>
      </c>
      <c r="E114" s="11">
        <v>4.2</v>
      </c>
      <c r="F114" s="11">
        <v>8.4</v>
      </c>
      <c r="G114" s="11">
        <v>8.3000000000000007</v>
      </c>
      <c r="H114" s="11">
        <v>4.8</v>
      </c>
      <c r="I114" s="11">
        <v>7.5</v>
      </c>
      <c r="J114" s="11">
        <v>5.7</v>
      </c>
      <c r="K114" s="11">
        <v>5.5</v>
      </c>
      <c r="L114" s="11">
        <v>3.8</v>
      </c>
      <c r="M114" s="11">
        <v>3.5</v>
      </c>
      <c r="N114" s="11">
        <v>8.6</v>
      </c>
      <c r="O114" s="11">
        <v>4.2</v>
      </c>
      <c r="P114" s="11">
        <v>8.5</v>
      </c>
    </row>
    <row r="115" spans="1:16" x14ac:dyDescent="0.3">
      <c r="A115" s="8" t="s">
        <v>101</v>
      </c>
      <c r="B115" s="9">
        <v>39083</v>
      </c>
      <c r="C115" s="10" t="s">
        <v>276</v>
      </c>
      <c r="D115" s="11">
        <v>69.8</v>
      </c>
      <c r="E115" s="11">
        <v>5.7</v>
      </c>
      <c r="F115" s="11">
        <v>5</v>
      </c>
      <c r="G115" s="11">
        <v>5.2</v>
      </c>
      <c r="H115" s="11">
        <v>6</v>
      </c>
      <c r="I115" s="11">
        <v>7.6</v>
      </c>
      <c r="J115" s="11">
        <v>6.9</v>
      </c>
      <c r="K115" s="11">
        <v>6.5</v>
      </c>
      <c r="L115" s="11">
        <v>5.7</v>
      </c>
      <c r="M115" s="11">
        <v>3.8</v>
      </c>
      <c r="N115" s="11">
        <v>8.6</v>
      </c>
      <c r="O115" s="11">
        <v>5.2</v>
      </c>
      <c r="P115" s="11">
        <v>8.5</v>
      </c>
    </row>
    <row r="116" spans="1:16" x14ac:dyDescent="0.3">
      <c r="A116" s="8" t="s">
        <v>102</v>
      </c>
      <c r="B116" s="9">
        <v>39083</v>
      </c>
      <c r="C116" s="10" t="s">
        <v>275</v>
      </c>
      <c r="D116" s="11">
        <v>69.3</v>
      </c>
      <c r="E116" s="11">
        <v>5.3</v>
      </c>
      <c r="F116" s="11">
        <v>8</v>
      </c>
      <c r="G116" s="11">
        <v>5.6</v>
      </c>
      <c r="H116" s="11">
        <v>5.3</v>
      </c>
      <c r="I116" s="11">
        <v>7.3</v>
      </c>
      <c r="J116" s="11">
        <v>4</v>
      </c>
      <c r="K116" s="11">
        <v>7.4</v>
      </c>
      <c r="L116" s="11">
        <v>4.5</v>
      </c>
      <c r="M116" s="11">
        <v>8.1</v>
      </c>
      <c r="N116" s="11">
        <v>8.6</v>
      </c>
      <c r="O116" s="11">
        <v>2.6</v>
      </c>
      <c r="P116" s="11">
        <v>8.5</v>
      </c>
    </row>
    <row r="117" spans="1:16" ht="28.8" x14ac:dyDescent="0.3">
      <c r="A117" s="13" t="s">
        <v>165</v>
      </c>
      <c r="B117" s="9">
        <v>39083</v>
      </c>
      <c r="C117" s="10" t="s">
        <v>325</v>
      </c>
      <c r="D117" s="11">
        <v>67.599999999999994</v>
      </c>
      <c r="E117" s="11">
        <v>5.7</v>
      </c>
      <c r="F117" s="11">
        <v>5.7</v>
      </c>
      <c r="G117" s="11">
        <v>5.2</v>
      </c>
      <c r="H117" s="11">
        <v>3.8</v>
      </c>
      <c r="I117" s="11">
        <v>8.1</v>
      </c>
      <c r="J117" s="11">
        <v>6.4</v>
      </c>
      <c r="K117" s="11">
        <v>6.4</v>
      </c>
      <c r="L117" s="11">
        <v>5.8</v>
      </c>
      <c r="M117" s="11">
        <v>5.4</v>
      </c>
      <c r="N117" s="11">
        <v>8.6</v>
      </c>
      <c r="O117" s="11">
        <v>3.8</v>
      </c>
      <c r="P117" s="11">
        <v>8.5</v>
      </c>
    </row>
    <row r="118" spans="1:16" x14ac:dyDescent="0.3">
      <c r="A118" s="8" t="s">
        <v>106</v>
      </c>
      <c r="B118" s="9">
        <v>39083</v>
      </c>
      <c r="C118" s="10" t="s">
        <v>274</v>
      </c>
      <c r="D118" s="11">
        <v>66.900000000000006</v>
      </c>
      <c r="E118" s="11">
        <v>6.9</v>
      </c>
      <c r="F118" s="11">
        <v>4.5</v>
      </c>
      <c r="G118" s="11">
        <v>6.1</v>
      </c>
      <c r="H118" s="11">
        <v>3.2</v>
      </c>
      <c r="I118" s="11">
        <v>8.8000000000000007</v>
      </c>
      <c r="J118" s="11">
        <v>5</v>
      </c>
      <c r="K118" s="11">
        <v>6.2</v>
      </c>
      <c r="L118" s="11">
        <v>6.3</v>
      </c>
      <c r="M118" s="11">
        <v>5.3</v>
      </c>
      <c r="N118" s="11">
        <v>8.6</v>
      </c>
      <c r="O118" s="11">
        <v>3.4</v>
      </c>
      <c r="P118" s="11">
        <v>8.5</v>
      </c>
    </row>
    <row r="119" spans="1:16" x14ac:dyDescent="0.3">
      <c r="A119" s="8" t="s">
        <v>98</v>
      </c>
      <c r="B119" s="9">
        <v>39083</v>
      </c>
      <c r="C119" s="10" t="s">
        <v>274</v>
      </c>
      <c r="D119" s="11">
        <v>66.900000000000006</v>
      </c>
      <c r="E119" s="11">
        <v>5.2</v>
      </c>
      <c r="F119" s="11">
        <v>3.8</v>
      </c>
      <c r="G119" s="11">
        <v>5.2</v>
      </c>
      <c r="H119" s="11">
        <v>5.7</v>
      </c>
      <c r="I119" s="11">
        <v>6.9</v>
      </c>
      <c r="J119" s="11">
        <v>5.0999999999999996</v>
      </c>
      <c r="K119" s="11">
        <v>5.7</v>
      </c>
      <c r="L119" s="11">
        <v>6.7</v>
      </c>
      <c r="M119" s="11">
        <v>5.6</v>
      </c>
      <c r="N119" s="11">
        <v>8.6</v>
      </c>
      <c r="O119" s="11">
        <v>4.5</v>
      </c>
      <c r="P119" s="11">
        <v>8.5</v>
      </c>
    </row>
    <row r="120" spans="1:16" x14ac:dyDescent="0.3">
      <c r="A120" s="8" t="s">
        <v>108</v>
      </c>
      <c r="B120" s="9">
        <v>39083</v>
      </c>
      <c r="C120" s="10" t="s">
        <v>195</v>
      </c>
      <c r="D120" s="11">
        <v>66.400000000000006</v>
      </c>
      <c r="E120" s="11">
        <v>3.9</v>
      </c>
      <c r="F120" s="11">
        <v>2.8</v>
      </c>
      <c r="G120" s="11">
        <v>3.4</v>
      </c>
      <c r="H120" s="11">
        <v>5.6</v>
      </c>
      <c r="I120" s="11">
        <v>7</v>
      </c>
      <c r="J120" s="11">
        <v>6</v>
      </c>
      <c r="K120" s="11">
        <v>5.4</v>
      </c>
      <c r="L120" s="11">
        <v>6.5</v>
      </c>
      <c r="M120" s="11">
        <v>4.8</v>
      </c>
      <c r="N120" s="11">
        <v>8.6</v>
      </c>
      <c r="O120" s="11">
        <v>5.8</v>
      </c>
      <c r="P120" s="11">
        <v>8.5</v>
      </c>
    </row>
    <row r="121" spans="1:16" x14ac:dyDescent="0.3">
      <c r="A121" s="8" t="s">
        <v>107</v>
      </c>
      <c r="B121" s="9">
        <v>39083</v>
      </c>
      <c r="C121" s="10" t="s">
        <v>194</v>
      </c>
      <c r="D121" s="11">
        <v>65.900000000000006</v>
      </c>
      <c r="E121" s="11">
        <v>6.3</v>
      </c>
      <c r="F121" s="11">
        <v>5.3</v>
      </c>
      <c r="G121" s="11">
        <v>5.5</v>
      </c>
      <c r="H121" s="11">
        <v>4.5999999999999996</v>
      </c>
      <c r="I121" s="11">
        <v>6.6</v>
      </c>
      <c r="J121" s="11">
        <v>3.6</v>
      </c>
      <c r="K121" s="11">
        <v>5.9</v>
      </c>
      <c r="L121" s="11">
        <v>5.4</v>
      </c>
      <c r="M121" s="11">
        <v>6.5</v>
      </c>
      <c r="N121" s="11">
        <v>8.6</v>
      </c>
      <c r="O121" s="11">
        <v>4.0999999999999996</v>
      </c>
      <c r="P121" s="11">
        <v>8.5</v>
      </c>
    </row>
    <row r="122" spans="1:16" ht="28.8" x14ac:dyDescent="0.3">
      <c r="A122" s="8" t="s">
        <v>112</v>
      </c>
      <c r="B122" s="9">
        <v>39083</v>
      </c>
      <c r="C122" s="10" t="s">
        <v>220</v>
      </c>
      <c r="D122" s="11">
        <v>65.7</v>
      </c>
      <c r="E122" s="11">
        <v>5.2</v>
      </c>
      <c r="F122" s="11">
        <v>4.5999999999999996</v>
      </c>
      <c r="G122" s="11">
        <v>5.2</v>
      </c>
      <c r="H122" s="11">
        <v>4.8</v>
      </c>
      <c r="I122" s="11">
        <v>7.1</v>
      </c>
      <c r="J122" s="11">
        <v>7.9</v>
      </c>
      <c r="K122" s="11">
        <v>6.3</v>
      </c>
      <c r="L122" s="11">
        <v>4.9000000000000004</v>
      </c>
      <c r="M122" s="11">
        <v>5.5</v>
      </c>
      <c r="N122" s="11">
        <v>8.6</v>
      </c>
      <c r="O122" s="11">
        <v>3.6</v>
      </c>
      <c r="P122" s="11">
        <v>8.5</v>
      </c>
    </row>
    <row r="123" spans="1:16" x14ac:dyDescent="0.3">
      <c r="A123" s="8" t="s">
        <v>110</v>
      </c>
      <c r="B123" s="9">
        <v>39083</v>
      </c>
      <c r="C123" s="10" t="s">
        <v>196</v>
      </c>
      <c r="D123" s="11">
        <v>65.599999999999994</v>
      </c>
      <c r="E123" s="11">
        <v>5.9</v>
      </c>
      <c r="F123" s="11">
        <v>6.2</v>
      </c>
      <c r="G123" s="11">
        <v>5.0999999999999996</v>
      </c>
      <c r="H123" s="11">
        <v>4.3</v>
      </c>
      <c r="I123" s="11">
        <v>7.4</v>
      </c>
      <c r="J123" s="11">
        <v>5.0999999999999996</v>
      </c>
      <c r="K123" s="11">
        <v>6.4</v>
      </c>
      <c r="L123" s="11">
        <v>5.9</v>
      </c>
      <c r="M123" s="11">
        <v>7.3</v>
      </c>
      <c r="N123" s="11">
        <v>8.6</v>
      </c>
      <c r="O123" s="11">
        <v>3.4</v>
      </c>
      <c r="P123" s="11">
        <v>8.5</v>
      </c>
    </row>
    <row r="124" spans="1:16" x14ac:dyDescent="0.3">
      <c r="A124" s="8" t="s">
        <v>109</v>
      </c>
      <c r="B124" s="9">
        <v>39083</v>
      </c>
      <c r="C124" s="10" t="s">
        <v>228</v>
      </c>
      <c r="D124" s="11">
        <v>65.099999999999994</v>
      </c>
      <c r="E124" s="11">
        <v>5.6</v>
      </c>
      <c r="F124" s="11">
        <v>3.7</v>
      </c>
      <c r="G124" s="11">
        <v>4.3</v>
      </c>
      <c r="H124" s="11">
        <v>5.4</v>
      </c>
      <c r="I124" s="11">
        <v>6.7</v>
      </c>
      <c r="J124" s="11">
        <v>6.7</v>
      </c>
      <c r="K124" s="11">
        <v>7</v>
      </c>
      <c r="L124" s="11">
        <v>5.8</v>
      </c>
      <c r="M124" s="11">
        <v>5.4</v>
      </c>
      <c r="N124" s="11">
        <v>8.6</v>
      </c>
      <c r="O124" s="11">
        <v>2.4</v>
      </c>
      <c r="P124" s="11">
        <v>8.5</v>
      </c>
    </row>
    <row r="125" spans="1:16" x14ac:dyDescent="0.3">
      <c r="A125" s="8" t="s">
        <v>114</v>
      </c>
      <c r="B125" s="9">
        <v>39083</v>
      </c>
      <c r="C125" s="10" t="s">
        <v>193</v>
      </c>
      <c r="D125" s="11">
        <v>62.1</v>
      </c>
      <c r="E125" s="11">
        <v>5.3</v>
      </c>
      <c r="F125" s="11">
        <v>7.6</v>
      </c>
      <c r="G125" s="11">
        <v>4.5</v>
      </c>
      <c r="H125" s="11">
        <v>3.1</v>
      </c>
      <c r="I125" s="11">
        <v>6.1</v>
      </c>
      <c r="J125" s="11">
        <v>4.0999999999999996</v>
      </c>
      <c r="K125" s="11">
        <v>6.9</v>
      </c>
      <c r="L125" s="11">
        <v>3.3</v>
      </c>
      <c r="M125" s="11">
        <v>6.5</v>
      </c>
      <c r="N125" s="11">
        <v>8.6</v>
      </c>
      <c r="O125" s="11">
        <v>4.8</v>
      </c>
      <c r="P125" s="11">
        <v>8.5</v>
      </c>
    </row>
    <row r="126" spans="1:16" x14ac:dyDescent="0.3">
      <c r="A126" s="8" t="s">
        <v>111</v>
      </c>
      <c r="B126" s="9">
        <v>39083</v>
      </c>
      <c r="C126" s="10" t="s">
        <v>191</v>
      </c>
      <c r="D126" s="11">
        <v>61.9</v>
      </c>
      <c r="E126" s="11">
        <v>2.4</v>
      </c>
      <c r="F126" s="11">
        <v>3.5</v>
      </c>
      <c r="G126" s="11">
        <v>5.0999999999999996</v>
      </c>
      <c r="H126" s="11">
        <v>4</v>
      </c>
      <c r="I126" s="11">
        <v>6.8</v>
      </c>
      <c r="J126" s="11">
        <v>8</v>
      </c>
      <c r="K126" s="11">
        <v>5.5</v>
      </c>
      <c r="L126" s="11">
        <v>6.9</v>
      </c>
      <c r="M126" s="11">
        <v>4.5</v>
      </c>
      <c r="N126" s="11">
        <v>8.6</v>
      </c>
      <c r="O126" s="11">
        <v>4.5</v>
      </c>
      <c r="P126" s="11">
        <v>8.5</v>
      </c>
    </row>
    <row r="127" spans="1:16" x14ac:dyDescent="0.3">
      <c r="A127" s="8" t="s">
        <v>116</v>
      </c>
      <c r="B127" s="9">
        <v>39083</v>
      </c>
      <c r="C127" s="10" t="s">
        <v>192</v>
      </c>
      <c r="D127" s="11">
        <v>60.9</v>
      </c>
      <c r="E127" s="11">
        <v>3.4</v>
      </c>
      <c r="F127" s="11">
        <v>4.5</v>
      </c>
      <c r="G127" s="11">
        <v>5.2</v>
      </c>
      <c r="H127" s="11">
        <v>5.7</v>
      </c>
      <c r="I127" s="11">
        <v>6.1</v>
      </c>
      <c r="J127" s="11">
        <v>5.2</v>
      </c>
      <c r="K127" s="11">
        <v>6.1</v>
      </c>
      <c r="L127" s="11">
        <v>5.2</v>
      </c>
      <c r="M127" s="11">
        <v>4.8</v>
      </c>
      <c r="N127" s="11">
        <v>8.6</v>
      </c>
      <c r="O127" s="11">
        <v>3.8</v>
      </c>
      <c r="P127" s="11">
        <v>8.5</v>
      </c>
    </row>
    <row r="128" spans="1:16" x14ac:dyDescent="0.3">
      <c r="A128" s="8" t="s">
        <v>117</v>
      </c>
      <c r="B128" s="9">
        <v>39083</v>
      </c>
      <c r="C128" s="10" t="s">
        <v>219</v>
      </c>
      <c r="D128" s="11">
        <v>60.5</v>
      </c>
      <c r="E128" s="11">
        <v>3.9</v>
      </c>
      <c r="F128" s="11">
        <v>3.9</v>
      </c>
      <c r="G128" s="11">
        <v>6</v>
      </c>
      <c r="H128" s="11">
        <v>5.7</v>
      </c>
      <c r="I128" s="11">
        <v>5.7</v>
      </c>
      <c r="J128" s="11">
        <v>5</v>
      </c>
      <c r="K128" s="11">
        <v>4.2</v>
      </c>
      <c r="L128" s="11">
        <v>4.0999999999999996</v>
      </c>
      <c r="M128" s="11">
        <v>4.5</v>
      </c>
      <c r="N128" s="11">
        <v>8.6</v>
      </c>
      <c r="O128" s="11">
        <v>6.5</v>
      </c>
      <c r="P128" s="11">
        <v>8.5</v>
      </c>
    </row>
    <row r="129" spans="1:16" x14ac:dyDescent="0.3">
      <c r="A129" s="8" t="s">
        <v>119</v>
      </c>
      <c r="B129" s="9">
        <v>39083</v>
      </c>
      <c r="C129" s="10" t="s">
        <v>216</v>
      </c>
      <c r="D129" s="11">
        <v>60.3</v>
      </c>
      <c r="E129" s="11">
        <v>5.4</v>
      </c>
      <c r="F129" s="11">
        <v>3.9</v>
      </c>
      <c r="G129" s="11">
        <v>4.2</v>
      </c>
      <c r="H129" s="11">
        <v>4.3</v>
      </c>
      <c r="I129" s="11">
        <v>6.2</v>
      </c>
      <c r="J129" s="11">
        <v>5.9</v>
      </c>
      <c r="K129" s="11">
        <v>5.7</v>
      </c>
      <c r="L129" s="11">
        <v>5</v>
      </c>
      <c r="M129" s="11">
        <v>4.7</v>
      </c>
      <c r="N129" s="11">
        <v>8.6</v>
      </c>
      <c r="O129" s="11">
        <v>4.0999999999999996</v>
      </c>
      <c r="P129" s="11">
        <v>8.5</v>
      </c>
    </row>
    <row r="130" spans="1:16" x14ac:dyDescent="0.3">
      <c r="A130" s="8" t="s">
        <v>115</v>
      </c>
      <c r="B130" s="9">
        <v>39083</v>
      </c>
      <c r="C130" s="10" t="s">
        <v>218</v>
      </c>
      <c r="D130" s="11">
        <v>60.1</v>
      </c>
      <c r="E130" s="11">
        <v>5.4</v>
      </c>
      <c r="F130" s="11">
        <v>5.3</v>
      </c>
      <c r="G130" s="11">
        <v>5.3</v>
      </c>
      <c r="H130" s="11">
        <v>3.2</v>
      </c>
      <c r="I130" s="11">
        <v>7.2</v>
      </c>
      <c r="J130" s="11">
        <v>5.4</v>
      </c>
      <c r="K130" s="11">
        <v>6.4</v>
      </c>
      <c r="L130" s="11">
        <v>4.0999999999999996</v>
      </c>
      <c r="M130" s="11">
        <v>3</v>
      </c>
      <c r="N130" s="11">
        <v>8.6</v>
      </c>
      <c r="O130" s="11">
        <v>3.6</v>
      </c>
      <c r="P130" s="11">
        <v>8.5</v>
      </c>
    </row>
    <row r="131" spans="1:16" x14ac:dyDescent="0.3">
      <c r="A131" s="8" t="s">
        <v>120</v>
      </c>
      <c r="B131" s="9">
        <v>39083</v>
      </c>
      <c r="C131" s="10" t="s">
        <v>217</v>
      </c>
      <c r="D131" s="11">
        <v>59.9</v>
      </c>
      <c r="E131" s="11">
        <v>5.3</v>
      </c>
      <c r="F131" s="11">
        <v>4.8</v>
      </c>
      <c r="G131" s="11">
        <v>5.8</v>
      </c>
      <c r="H131" s="11">
        <v>5</v>
      </c>
      <c r="I131" s="11">
        <v>7.6</v>
      </c>
      <c r="J131" s="11">
        <v>6.9</v>
      </c>
      <c r="K131" s="11">
        <v>6.1</v>
      </c>
      <c r="L131" s="11">
        <v>2.6</v>
      </c>
      <c r="M131" s="11">
        <v>3</v>
      </c>
      <c r="N131" s="11">
        <v>8.6</v>
      </c>
      <c r="O131" s="11">
        <v>3.6</v>
      </c>
      <c r="P131" s="11">
        <v>8.5</v>
      </c>
    </row>
    <row r="132" spans="1:16" x14ac:dyDescent="0.3">
      <c r="A132" s="8" t="s">
        <v>118</v>
      </c>
      <c r="B132" s="9">
        <v>39083</v>
      </c>
      <c r="C132" s="10" t="s">
        <v>250</v>
      </c>
      <c r="D132" s="11">
        <v>59.4</v>
      </c>
      <c r="E132" s="11">
        <v>5</v>
      </c>
      <c r="F132" s="11">
        <v>2.9</v>
      </c>
      <c r="G132" s="11">
        <v>4.4000000000000004</v>
      </c>
      <c r="H132" s="11">
        <v>5.8</v>
      </c>
      <c r="I132" s="11">
        <v>7.5</v>
      </c>
      <c r="J132" s="11">
        <v>5</v>
      </c>
      <c r="K132" s="11">
        <v>4.8</v>
      </c>
      <c r="L132" s="11">
        <v>5.6</v>
      </c>
      <c r="M132" s="11">
        <v>4.7</v>
      </c>
      <c r="N132" s="11">
        <v>8.6</v>
      </c>
      <c r="O132" s="11">
        <v>3.1</v>
      </c>
      <c r="P132" s="11">
        <v>8.5</v>
      </c>
    </row>
    <row r="133" spans="1:16" x14ac:dyDescent="0.3">
      <c r="A133" s="8" t="s">
        <v>121</v>
      </c>
      <c r="B133" s="9">
        <v>39083</v>
      </c>
      <c r="C133" s="10" t="s">
        <v>265</v>
      </c>
      <c r="D133" s="11">
        <v>58.4</v>
      </c>
      <c r="E133" s="11">
        <v>4.8</v>
      </c>
      <c r="F133" s="11">
        <v>4.9000000000000004</v>
      </c>
      <c r="G133" s="11">
        <v>4.0999999999999996</v>
      </c>
      <c r="H133" s="11">
        <v>5.2</v>
      </c>
      <c r="I133" s="11">
        <v>5.4</v>
      </c>
      <c r="J133" s="11">
        <v>2.1</v>
      </c>
      <c r="K133" s="11">
        <v>6</v>
      </c>
      <c r="L133" s="11">
        <v>5.3</v>
      </c>
      <c r="M133" s="11">
        <v>6.7</v>
      </c>
      <c r="N133" s="11">
        <v>8.6</v>
      </c>
      <c r="O133" s="11">
        <v>1</v>
      </c>
      <c r="P133" s="11">
        <v>8.5</v>
      </c>
    </row>
    <row r="134" spans="1:16" x14ac:dyDescent="0.3">
      <c r="A134" s="8" t="s">
        <v>113</v>
      </c>
      <c r="B134" s="9">
        <v>39083</v>
      </c>
      <c r="C134" s="10" t="s">
        <v>249</v>
      </c>
      <c r="D134" s="11">
        <v>57.4</v>
      </c>
      <c r="E134" s="11">
        <v>3.2</v>
      </c>
      <c r="F134" s="11">
        <v>3.9</v>
      </c>
      <c r="G134" s="11">
        <v>4.7</v>
      </c>
      <c r="H134" s="11">
        <v>2.8</v>
      </c>
      <c r="I134" s="11">
        <v>8.5</v>
      </c>
      <c r="J134" s="11">
        <v>4</v>
      </c>
      <c r="K134" s="11">
        <v>4.3</v>
      </c>
      <c r="L134" s="11">
        <v>5.7</v>
      </c>
      <c r="M134" s="11">
        <v>4.0999999999999996</v>
      </c>
      <c r="N134" s="11">
        <v>8.6</v>
      </c>
      <c r="O134" s="11">
        <v>6</v>
      </c>
      <c r="P134" s="11">
        <v>8.5</v>
      </c>
    </row>
    <row r="135" spans="1:16" x14ac:dyDescent="0.3">
      <c r="A135" s="8" t="s">
        <v>122</v>
      </c>
      <c r="B135" s="9">
        <v>39083</v>
      </c>
      <c r="C135" s="10" t="s">
        <v>248</v>
      </c>
      <c r="D135" s="11">
        <v>57</v>
      </c>
      <c r="E135" s="11">
        <v>3.4</v>
      </c>
      <c r="F135" s="11">
        <v>6</v>
      </c>
      <c r="G135" s="11">
        <v>6</v>
      </c>
      <c r="H135" s="11">
        <v>3.5</v>
      </c>
      <c r="I135" s="11">
        <v>5</v>
      </c>
      <c r="J135" s="11">
        <v>3.7</v>
      </c>
      <c r="K135" s="11">
        <v>6.8</v>
      </c>
      <c r="L135" s="11">
        <v>3.7</v>
      </c>
      <c r="M135" s="11">
        <v>4.7</v>
      </c>
      <c r="N135" s="11">
        <v>8.6</v>
      </c>
      <c r="O135" s="11">
        <v>3.6</v>
      </c>
      <c r="P135" s="11">
        <v>8.5</v>
      </c>
    </row>
    <row r="136" spans="1:16" x14ac:dyDescent="0.3">
      <c r="A136" s="8" t="s">
        <v>124</v>
      </c>
      <c r="B136" s="9">
        <v>39083</v>
      </c>
      <c r="C136" s="10" t="s">
        <v>247</v>
      </c>
      <c r="D136" s="11">
        <v>56.7</v>
      </c>
      <c r="E136" s="11">
        <v>2.2000000000000002</v>
      </c>
      <c r="F136" s="11">
        <v>4.4000000000000004</v>
      </c>
      <c r="G136" s="11">
        <v>4.5999999999999996</v>
      </c>
      <c r="H136" s="11">
        <v>5.8</v>
      </c>
      <c r="I136" s="11">
        <v>7</v>
      </c>
      <c r="J136" s="11">
        <v>5</v>
      </c>
      <c r="K136" s="11">
        <v>4.7</v>
      </c>
      <c r="L136" s="11">
        <v>4</v>
      </c>
      <c r="M136" s="11">
        <v>3.8</v>
      </c>
      <c r="N136" s="11">
        <v>8.6</v>
      </c>
      <c r="O136" s="11">
        <v>5.7</v>
      </c>
      <c r="P136" s="11">
        <v>8.5</v>
      </c>
    </row>
    <row r="137" spans="1:16" x14ac:dyDescent="0.3">
      <c r="A137" s="8" t="s">
        <v>123</v>
      </c>
      <c r="B137" s="9">
        <v>39083</v>
      </c>
      <c r="C137" s="10" t="s">
        <v>264</v>
      </c>
      <c r="D137" s="11">
        <v>55.6</v>
      </c>
      <c r="E137" s="11">
        <v>4.8</v>
      </c>
      <c r="F137" s="11">
        <v>6</v>
      </c>
      <c r="G137" s="11">
        <v>5.8</v>
      </c>
      <c r="H137" s="11">
        <v>4</v>
      </c>
      <c r="I137" s="11">
        <v>4.3</v>
      </c>
      <c r="J137" s="11">
        <v>2.5</v>
      </c>
      <c r="K137" s="11">
        <v>4.5</v>
      </c>
      <c r="L137" s="11">
        <v>3.6</v>
      </c>
      <c r="M137" s="11">
        <v>5.6</v>
      </c>
      <c r="N137" s="11">
        <v>8.6</v>
      </c>
      <c r="O137" s="11">
        <v>4.0999999999999996</v>
      </c>
      <c r="P137" s="11">
        <v>8.5</v>
      </c>
    </row>
    <row r="138" spans="1:16" x14ac:dyDescent="0.3">
      <c r="A138" s="8" t="s">
        <v>125</v>
      </c>
      <c r="B138" s="9">
        <v>39083</v>
      </c>
      <c r="C138" s="10" t="s">
        <v>243</v>
      </c>
      <c r="D138" s="11">
        <v>53.6</v>
      </c>
      <c r="E138" s="11">
        <v>2.5</v>
      </c>
      <c r="F138" s="11">
        <v>4.7</v>
      </c>
      <c r="G138" s="11">
        <v>5.6</v>
      </c>
      <c r="H138" s="11">
        <v>4.9000000000000004</v>
      </c>
      <c r="I138" s="11">
        <v>4.8</v>
      </c>
      <c r="J138" s="11">
        <v>3.6</v>
      </c>
      <c r="K138" s="11">
        <v>7</v>
      </c>
      <c r="L138" s="11">
        <v>2.6</v>
      </c>
      <c r="M138" s="11">
        <v>4.7</v>
      </c>
      <c r="N138" s="11">
        <v>8.6</v>
      </c>
      <c r="O138" s="11">
        <v>3.6</v>
      </c>
      <c r="P138" s="11">
        <v>8.5</v>
      </c>
    </row>
    <row r="139" spans="1:16" ht="28.8" x14ac:dyDescent="0.3">
      <c r="A139" s="8" t="s">
        <v>126</v>
      </c>
      <c r="B139" s="9">
        <v>39083</v>
      </c>
      <c r="C139" s="10" t="s">
        <v>246</v>
      </c>
      <c r="D139" s="11">
        <v>51.6</v>
      </c>
      <c r="E139" s="11">
        <v>2.1</v>
      </c>
      <c r="F139" s="11">
        <v>3.6</v>
      </c>
      <c r="G139" s="11">
        <v>4</v>
      </c>
      <c r="H139" s="11">
        <v>2.6</v>
      </c>
      <c r="I139" s="11">
        <v>5.2</v>
      </c>
      <c r="J139" s="11">
        <v>3.7</v>
      </c>
      <c r="K139" s="11">
        <v>7</v>
      </c>
      <c r="L139" s="11">
        <v>4.0999999999999996</v>
      </c>
      <c r="M139" s="11">
        <v>6.1</v>
      </c>
      <c r="N139" s="11">
        <v>8.6</v>
      </c>
      <c r="O139" s="11">
        <v>3.6</v>
      </c>
      <c r="P139" s="11">
        <v>8.5</v>
      </c>
    </row>
    <row r="140" spans="1:16" x14ac:dyDescent="0.3">
      <c r="A140" s="8" t="s">
        <v>128</v>
      </c>
      <c r="B140" s="9">
        <v>39083</v>
      </c>
      <c r="C140" s="10" t="s">
        <v>263</v>
      </c>
      <c r="D140" s="11">
        <v>51.2</v>
      </c>
      <c r="E140" s="11">
        <v>2.1</v>
      </c>
      <c r="F140" s="11">
        <v>5.5</v>
      </c>
      <c r="G140" s="11">
        <v>3</v>
      </c>
      <c r="H140" s="11">
        <v>4.0999999999999996</v>
      </c>
      <c r="I140" s="11">
        <v>6.3</v>
      </c>
      <c r="J140" s="11">
        <v>5</v>
      </c>
      <c r="K140" s="11">
        <v>6</v>
      </c>
      <c r="L140" s="11">
        <v>3.8</v>
      </c>
      <c r="M140" s="11">
        <v>4</v>
      </c>
      <c r="N140" s="11">
        <v>8.6</v>
      </c>
      <c r="O140" s="11">
        <v>3.6</v>
      </c>
      <c r="P140" s="11">
        <v>8.5</v>
      </c>
    </row>
    <row r="141" spans="1:16" x14ac:dyDescent="0.3">
      <c r="A141" s="8" t="s">
        <v>129</v>
      </c>
      <c r="B141" s="9">
        <v>39083</v>
      </c>
      <c r="C141" s="10" t="s">
        <v>262</v>
      </c>
      <c r="D141" s="11">
        <v>50.5</v>
      </c>
      <c r="E141" s="11">
        <v>2</v>
      </c>
      <c r="F141" s="11">
        <v>3.3</v>
      </c>
      <c r="G141" s="11">
        <v>4</v>
      </c>
      <c r="H141" s="11">
        <v>4.8</v>
      </c>
      <c r="I141" s="11">
        <v>6.6</v>
      </c>
      <c r="J141" s="11">
        <v>5</v>
      </c>
      <c r="K141" s="11">
        <v>3.9</v>
      </c>
      <c r="L141" s="11">
        <v>2.9</v>
      </c>
      <c r="M141" s="11">
        <v>3.5</v>
      </c>
      <c r="N141" s="11">
        <v>8.6</v>
      </c>
      <c r="O141" s="11">
        <v>4.4000000000000004</v>
      </c>
      <c r="P141" s="11">
        <v>8.5</v>
      </c>
    </row>
    <row r="142" spans="1:16" x14ac:dyDescent="0.3">
      <c r="A142" s="8" t="s">
        <v>127</v>
      </c>
      <c r="B142" s="9">
        <v>39083</v>
      </c>
      <c r="C142" s="10" t="s">
        <v>221</v>
      </c>
      <c r="D142" s="11">
        <v>50.5</v>
      </c>
      <c r="E142" s="11">
        <v>2.1</v>
      </c>
      <c r="F142" s="11">
        <v>5.9</v>
      </c>
      <c r="G142" s="11">
        <v>4.5</v>
      </c>
      <c r="H142" s="11">
        <v>3.7</v>
      </c>
      <c r="I142" s="11">
        <v>4.9000000000000004</v>
      </c>
      <c r="J142" s="11">
        <v>4</v>
      </c>
      <c r="K142" s="11">
        <v>5</v>
      </c>
      <c r="L142" s="11">
        <v>3.8</v>
      </c>
      <c r="M142" s="11">
        <v>3.7</v>
      </c>
      <c r="N142" s="11">
        <v>8.6</v>
      </c>
      <c r="O142" s="11">
        <v>4.8</v>
      </c>
      <c r="P142" s="11">
        <v>8.5</v>
      </c>
    </row>
    <row r="143" spans="1:16" ht="28.8" x14ac:dyDescent="0.3">
      <c r="A143" s="12" t="s">
        <v>343</v>
      </c>
      <c r="B143" s="9">
        <v>39083</v>
      </c>
      <c r="C143" s="10" t="s">
        <v>222</v>
      </c>
      <c r="D143" s="11">
        <v>49.3</v>
      </c>
      <c r="E143" s="11">
        <v>2</v>
      </c>
      <c r="F143" s="11">
        <v>4.2</v>
      </c>
      <c r="G143" s="11">
        <v>4.4000000000000004</v>
      </c>
      <c r="H143" s="11">
        <v>4.5</v>
      </c>
      <c r="I143" s="11">
        <v>6.5</v>
      </c>
      <c r="J143" s="11">
        <v>5.5</v>
      </c>
      <c r="K143" s="11">
        <v>4.2</v>
      </c>
      <c r="L143" s="11">
        <v>4.0999999999999996</v>
      </c>
      <c r="M143" s="11">
        <v>3.9</v>
      </c>
      <c r="N143" s="11">
        <v>8.6</v>
      </c>
      <c r="O143" s="11">
        <v>1.8</v>
      </c>
      <c r="P143" s="11">
        <v>8.5</v>
      </c>
    </row>
    <row r="144" spans="1:16" x14ac:dyDescent="0.3">
      <c r="A144" s="8" t="s">
        <v>130</v>
      </c>
      <c r="B144" s="9">
        <v>39083</v>
      </c>
      <c r="C144" s="10" t="s">
        <v>322</v>
      </c>
      <c r="D144" s="11">
        <v>49</v>
      </c>
      <c r="E144" s="11">
        <v>2</v>
      </c>
      <c r="F144" s="11">
        <v>3</v>
      </c>
      <c r="G144" s="11">
        <v>3.5</v>
      </c>
      <c r="H144" s="11">
        <v>4.5</v>
      </c>
      <c r="I144" s="11">
        <v>6.2</v>
      </c>
      <c r="J144" s="11">
        <v>5.4</v>
      </c>
      <c r="K144" s="11">
        <v>4.2</v>
      </c>
      <c r="L144" s="11">
        <v>3.7</v>
      </c>
      <c r="M144" s="11">
        <v>3.7</v>
      </c>
      <c r="N144" s="11">
        <v>8.6</v>
      </c>
      <c r="O144" s="11">
        <v>3.4</v>
      </c>
      <c r="P144" s="11">
        <v>8.5</v>
      </c>
    </row>
    <row r="145" spans="1:16" x14ac:dyDescent="0.3">
      <c r="A145" s="8" t="s">
        <v>131</v>
      </c>
      <c r="B145" s="9">
        <v>39083</v>
      </c>
      <c r="C145" s="10" t="s">
        <v>335</v>
      </c>
      <c r="D145" s="11">
        <v>48.5</v>
      </c>
      <c r="E145" s="11">
        <v>4.5</v>
      </c>
      <c r="F145" s="11">
        <v>1.6</v>
      </c>
      <c r="G145" s="11">
        <v>3.9</v>
      </c>
      <c r="H145" s="11">
        <v>3.5</v>
      </c>
      <c r="I145" s="11">
        <v>4.5</v>
      </c>
      <c r="J145" s="11">
        <v>4.8</v>
      </c>
      <c r="K145" s="11">
        <v>4.5</v>
      </c>
      <c r="L145" s="11">
        <v>3.3</v>
      </c>
      <c r="M145" s="11">
        <v>3.5</v>
      </c>
      <c r="N145" s="11">
        <v>8.6</v>
      </c>
      <c r="O145" s="11">
        <v>6.1</v>
      </c>
      <c r="P145" s="11">
        <v>8.5</v>
      </c>
    </row>
    <row r="146" spans="1:16" x14ac:dyDescent="0.3">
      <c r="A146" s="8" t="s">
        <v>132</v>
      </c>
      <c r="B146" s="9">
        <v>39083</v>
      </c>
      <c r="C146" s="10" t="s">
        <v>223</v>
      </c>
      <c r="D146" s="11">
        <v>47.6</v>
      </c>
      <c r="E146" s="11">
        <v>2</v>
      </c>
      <c r="F146" s="11">
        <v>3</v>
      </c>
      <c r="G146" s="11">
        <v>3.2</v>
      </c>
      <c r="H146" s="11">
        <v>4.3</v>
      </c>
      <c r="I146" s="11">
        <v>4.8</v>
      </c>
      <c r="J146" s="11">
        <v>6.5</v>
      </c>
      <c r="K146" s="11">
        <v>4.2</v>
      </c>
      <c r="L146" s="11">
        <v>4.2</v>
      </c>
      <c r="M146" s="11">
        <v>3.5</v>
      </c>
      <c r="N146" s="11">
        <v>8.6</v>
      </c>
      <c r="O146" s="11">
        <v>3</v>
      </c>
      <c r="P146" s="11">
        <v>8.5</v>
      </c>
    </row>
    <row r="147" spans="1:16" x14ac:dyDescent="0.3">
      <c r="A147" s="8" t="s">
        <v>133</v>
      </c>
      <c r="B147" s="9">
        <v>39083</v>
      </c>
      <c r="C147" s="10" t="s">
        <v>224</v>
      </c>
      <c r="D147" s="11">
        <v>45.5</v>
      </c>
      <c r="E147" s="11">
        <v>5.3</v>
      </c>
      <c r="F147" s="11">
        <v>7.1</v>
      </c>
      <c r="G147" s="11">
        <v>3</v>
      </c>
      <c r="H147" s="11">
        <v>3.7</v>
      </c>
      <c r="I147" s="11">
        <v>2</v>
      </c>
      <c r="J147" s="11">
        <v>1.1000000000000001</v>
      </c>
      <c r="K147" s="11">
        <v>6.3</v>
      </c>
      <c r="L147" s="11">
        <v>4.2</v>
      </c>
      <c r="M147" s="11">
        <v>6.6</v>
      </c>
      <c r="N147" s="11">
        <v>8.6</v>
      </c>
      <c r="O147" s="11">
        <v>1.1000000000000001</v>
      </c>
      <c r="P147" s="11">
        <v>8.5</v>
      </c>
    </row>
    <row r="148" spans="1:16" x14ac:dyDescent="0.3">
      <c r="A148" s="8" t="s">
        <v>134</v>
      </c>
      <c r="B148" s="9">
        <v>39083</v>
      </c>
      <c r="C148" s="10" t="s">
        <v>333</v>
      </c>
      <c r="D148" s="11">
        <v>43.5</v>
      </c>
      <c r="E148" s="11">
        <v>3.1</v>
      </c>
      <c r="F148" s="11">
        <v>1.6</v>
      </c>
      <c r="G148" s="11">
        <v>3.5</v>
      </c>
      <c r="H148" s="11">
        <v>3.5</v>
      </c>
      <c r="I148" s="11">
        <v>5</v>
      </c>
      <c r="J148" s="11">
        <v>5.4</v>
      </c>
      <c r="K148" s="11">
        <v>4</v>
      </c>
      <c r="L148" s="11">
        <v>3.1</v>
      </c>
      <c r="M148" s="11">
        <v>3.9</v>
      </c>
      <c r="N148" s="11">
        <v>8.6</v>
      </c>
      <c r="O148" s="11">
        <v>2</v>
      </c>
      <c r="P148" s="11">
        <v>8.5</v>
      </c>
    </row>
    <row r="149" spans="1:16" x14ac:dyDescent="0.3">
      <c r="A149" s="8" t="s">
        <v>135</v>
      </c>
      <c r="B149" s="9">
        <v>39083</v>
      </c>
      <c r="C149" s="10" t="s">
        <v>334</v>
      </c>
      <c r="D149" s="11">
        <v>42.7</v>
      </c>
      <c r="E149" s="11">
        <v>3.5</v>
      </c>
      <c r="F149" s="11">
        <v>3</v>
      </c>
      <c r="G149" s="11">
        <v>3.5</v>
      </c>
      <c r="H149" s="11">
        <v>3.8</v>
      </c>
      <c r="I149" s="11">
        <v>5.9</v>
      </c>
      <c r="J149" s="11">
        <v>2.1</v>
      </c>
      <c r="K149" s="11">
        <v>5.0999999999999996</v>
      </c>
      <c r="L149" s="11">
        <v>4.4000000000000004</v>
      </c>
      <c r="M149" s="11">
        <v>3.9</v>
      </c>
      <c r="N149" s="11">
        <v>8.6</v>
      </c>
      <c r="O149" s="11">
        <v>1.1000000000000001</v>
      </c>
      <c r="P149" s="11">
        <v>8.5</v>
      </c>
    </row>
    <row r="150" spans="1:16" ht="28.8" x14ac:dyDescent="0.3">
      <c r="A150" s="12" t="s">
        <v>136</v>
      </c>
      <c r="B150" s="9">
        <v>39083</v>
      </c>
      <c r="C150" s="10" t="s">
        <v>225</v>
      </c>
      <c r="D150" s="11">
        <v>42.1</v>
      </c>
      <c r="E150" s="11">
        <v>2</v>
      </c>
      <c r="F150" s="11">
        <v>3.5</v>
      </c>
      <c r="G150" s="11">
        <v>3.2</v>
      </c>
      <c r="H150" s="11">
        <v>2.8</v>
      </c>
      <c r="I150" s="11">
        <v>3.9</v>
      </c>
      <c r="J150" s="11">
        <v>5</v>
      </c>
      <c r="K150" s="11">
        <v>3.7</v>
      </c>
      <c r="L150" s="11">
        <v>3.8</v>
      </c>
      <c r="M150" s="11">
        <v>3.5</v>
      </c>
      <c r="N150" s="11">
        <v>8.6</v>
      </c>
      <c r="O150" s="11">
        <v>3.3</v>
      </c>
      <c r="P150" s="11">
        <v>8.5</v>
      </c>
    </row>
    <row r="151" spans="1:16" x14ac:dyDescent="0.3">
      <c r="A151" s="8" t="s">
        <v>138</v>
      </c>
      <c r="B151" s="9">
        <v>39083</v>
      </c>
      <c r="C151" s="10" t="s">
        <v>227</v>
      </c>
      <c r="D151" s="11">
        <v>41.4</v>
      </c>
      <c r="E151" s="11">
        <v>1.9</v>
      </c>
      <c r="F151" s="11">
        <v>2.7</v>
      </c>
      <c r="G151" s="11">
        <v>4</v>
      </c>
      <c r="H151" s="11">
        <v>4.5999999999999996</v>
      </c>
      <c r="I151" s="11">
        <v>5.2</v>
      </c>
      <c r="J151" s="11">
        <v>4</v>
      </c>
      <c r="K151" s="11">
        <v>3.4</v>
      </c>
      <c r="L151" s="11">
        <v>3.8</v>
      </c>
      <c r="M151" s="11">
        <v>3.7</v>
      </c>
      <c r="N151" s="11">
        <v>8.6</v>
      </c>
      <c r="O151" s="11">
        <v>1.5</v>
      </c>
      <c r="P151" s="11">
        <v>8.5</v>
      </c>
    </row>
    <row r="152" spans="1:16" x14ac:dyDescent="0.3">
      <c r="A152" s="8" t="s">
        <v>139</v>
      </c>
      <c r="B152" s="9">
        <v>39083</v>
      </c>
      <c r="C152" s="10" t="s">
        <v>313</v>
      </c>
      <c r="D152" s="11">
        <v>40.9</v>
      </c>
      <c r="E152" s="11">
        <v>3</v>
      </c>
      <c r="F152" s="11">
        <v>2.2999999999999998</v>
      </c>
      <c r="G152" s="11">
        <v>2</v>
      </c>
      <c r="H152" s="11">
        <v>3.5</v>
      </c>
      <c r="I152" s="11">
        <v>5.0999999999999996</v>
      </c>
      <c r="J152" s="11">
        <v>5.9</v>
      </c>
      <c r="K152" s="11">
        <v>2.9</v>
      </c>
      <c r="L152" s="11">
        <v>4</v>
      </c>
      <c r="M152" s="11">
        <v>2.5</v>
      </c>
      <c r="N152" s="11">
        <v>8.6</v>
      </c>
      <c r="O152" s="11">
        <v>1.1000000000000001</v>
      </c>
      <c r="P152" s="11">
        <v>8.5</v>
      </c>
    </row>
    <row r="153" spans="1:16" x14ac:dyDescent="0.3">
      <c r="A153" s="8" t="s">
        <v>140</v>
      </c>
      <c r="B153" s="9">
        <v>39083</v>
      </c>
      <c r="C153" s="10" t="s">
        <v>226</v>
      </c>
      <c r="D153" s="11">
        <v>39.700000000000003</v>
      </c>
      <c r="E153" s="11">
        <v>1</v>
      </c>
      <c r="F153" s="11">
        <v>2.9</v>
      </c>
      <c r="G153" s="11">
        <v>3.5</v>
      </c>
      <c r="H153" s="11">
        <v>1.4</v>
      </c>
      <c r="I153" s="11">
        <v>2.4</v>
      </c>
      <c r="J153" s="11">
        <v>5.5</v>
      </c>
      <c r="K153" s="11">
        <v>3.9</v>
      </c>
      <c r="L153" s="11">
        <v>2</v>
      </c>
      <c r="M153" s="11">
        <v>2.7</v>
      </c>
      <c r="N153" s="11">
        <v>8.6</v>
      </c>
      <c r="O153" s="11">
        <v>3.9</v>
      </c>
      <c r="P153" s="11">
        <v>8.5</v>
      </c>
    </row>
    <row r="154" spans="1:16" x14ac:dyDescent="0.3">
      <c r="A154" s="8" t="s">
        <v>137</v>
      </c>
      <c r="B154" s="9">
        <v>39083</v>
      </c>
      <c r="C154" s="10" t="s">
        <v>315</v>
      </c>
      <c r="D154" s="11">
        <v>39.200000000000003</v>
      </c>
      <c r="E154" s="11">
        <v>4.3</v>
      </c>
      <c r="F154" s="11">
        <v>5.6</v>
      </c>
      <c r="G154" s="11">
        <v>5.7</v>
      </c>
      <c r="H154" s="11">
        <v>3.4</v>
      </c>
      <c r="I154" s="11">
        <v>5</v>
      </c>
      <c r="J154" s="11">
        <v>1.6</v>
      </c>
      <c r="K154" s="11">
        <v>1.4</v>
      </c>
      <c r="L154" s="11">
        <v>1.9</v>
      </c>
      <c r="M154" s="11">
        <v>2.8</v>
      </c>
      <c r="N154" s="11">
        <v>8.6</v>
      </c>
      <c r="O154" s="11">
        <v>1.8</v>
      </c>
      <c r="P154" s="11">
        <v>8.5</v>
      </c>
    </row>
    <row r="155" spans="1:16" x14ac:dyDescent="0.3">
      <c r="A155" s="8" t="s">
        <v>142</v>
      </c>
      <c r="B155" s="9">
        <v>39083</v>
      </c>
      <c r="C155" s="10" t="s">
        <v>314</v>
      </c>
      <c r="D155" s="11">
        <v>38.4</v>
      </c>
      <c r="E155" s="11">
        <v>2.5</v>
      </c>
      <c r="F155" s="11">
        <v>1.8</v>
      </c>
      <c r="G155" s="11">
        <v>4.9000000000000004</v>
      </c>
      <c r="H155" s="11">
        <v>3</v>
      </c>
      <c r="I155" s="11">
        <v>5.5</v>
      </c>
      <c r="J155" s="11">
        <v>3</v>
      </c>
      <c r="K155" s="11">
        <v>2.2999999999999998</v>
      </c>
      <c r="L155" s="11">
        <v>1.7</v>
      </c>
      <c r="M155" s="11">
        <v>2.9</v>
      </c>
      <c r="N155" s="11">
        <v>8.6</v>
      </c>
      <c r="O155" s="11">
        <v>4.8</v>
      </c>
      <c r="P155" s="11">
        <v>8.5</v>
      </c>
    </row>
    <row r="156" spans="1:16" x14ac:dyDescent="0.3">
      <c r="A156" s="8" t="s">
        <v>143</v>
      </c>
      <c r="B156" s="9">
        <v>39083</v>
      </c>
      <c r="C156" s="10" t="s">
        <v>326</v>
      </c>
      <c r="D156" s="11">
        <v>37.5</v>
      </c>
      <c r="E156" s="11">
        <v>3</v>
      </c>
      <c r="F156" s="11">
        <v>1.1000000000000001</v>
      </c>
      <c r="G156" s="11">
        <v>3.4</v>
      </c>
      <c r="H156" s="11">
        <v>3.2</v>
      </c>
      <c r="I156" s="11">
        <v>5.4</v>
      </c>
      <c r="J156" s="11">
        <v>3.5</v>
      </c>
      <c r="K156" s="11">
        <v>3.2</v>
      </c>
      <c r="L156" s="11">
        <v>3.5</v>
      </c>
      <c r="M156" s="11">
        <v>3.5</v>
      </c>
      <c r="N156" s="11">
        <v>8.6</v>
      </c>
      <c r="O156" s="11">
        <v>1.7</v>
      </c>
      <c r="P156" s="11">
        <v>8.5</v>
      </c>
    </row>
    <row r="157" spans="1:16" x14ac:dyDescent="0.3">
      <c r="A157" s="8" t="s">
        <v>141</v>
      </c>
      <c r="B157" s="9">
        <v>39083</v>
      </c>
      <c r="C157" s="10" t="s">
        <v>316</v>
      </c>
      <c r="D157" s="11">
        <v>37.1</v>
      </c>
      <c r="E157" s="11">
        <v>2.5</v>
      </c>
      <c r="F157" s="11">
        <v>3.2</v>
      </c>
      <c r="G157" s="11">
        <v>3.5</v>
      </c>
      <c r="H157" s="11">
        <v>3.8</v>
      </c>
      <c r="I157" s="11">
        <v>4.5</v>
      </c>
      <c r="J157" s="11">
        <v>3</v>
      </c>
      <c r="K157" s="11">
        <v>3.7</v>
      </c>
      <c r="L157" s="11">
        <v>2</v>
      </c>
      <c r="M157" s="11">
        <v>1.8</v>
      </c>
      <c r="N157" s="11">
        <v>8.6</v>
      </c>
      <c r="O157" s="11">
        <v>3.5</v>
      </c>
      <c r="P157" s="11">
        <v>8.5</v>
      </c>
    </row>
    <row r="158" spans="1:16" x14ac:dyDescent="0.3">
      <c r="A158" s="12" t="s">
        <v>347</v>
      </c>
      <c r="B158" s="9">
        <v>39083</v>
      </c>
      <c r="C158" s="10" t="s">
        <v>338</v>
      </c>
      <c r="D158" s="11">
        <v>34.1</v>
      </c>
      <c r="E158" s="11">
        <v>1</v>
      </c>
      <c r="F158" s="11">
        <v>1.8</v>
      </c>
      <c r="G158" s="11">
        <v>5.8</v>
      </c>
      <c r="H158" s="11">
        <v>2.9</v>
      </c>
      <c r="I158" s="11">
        <v>4.8</v>
      </c>
      <c r="J158" s="11">
        <v>2</v>
      </c>
      <c r="K158" s="11">
        <v>1.5</v>
      </c>
      <c r="L158" s="11">
        <v>1.4</v>
      </c>
      <c r="M158" s="11">
        <v>3.2</v>
      </c>
      <c r="N158" s="11">
        <v>8.6</v>
      </c>
      <c r="O158" s="11">
        <v>3.6</v>
      </c>
      <c r="P158" s="11">
        <v>8.5</v>
      </c>
    </row>
    <row r="159" spans="1:16" ht="28.8" x14ac:dyDescent="0.3">
      <c r="A159" s="8" t="s">
        <v>146</v>
      </c>
      <c r="B159" s="9">
        <v>39083</v>
      </c>
      <c r="C159" s="10" t="s">
        <v>338</v>
      </c>
      <c r="D159" s="11">
        <v>34.1</v>
      </c>
      <c r="E159" s="11">
        <v>3</v>
      </c>
      <c r="F159" s="11">
        <v>2.7</v>
      </c>
      <c r="G159" s="11">
        <v>4.2</v>
      </c>
      <c r="H159" s="11">
        <v>1.4</v>
      </c>
      <c r="I159" s="11">
        <v>4.7</v>
      </c>
      <c r="J159" s="11">
        <v>2</v>
      </c>
      <c r="K159" s="11">
        <v>2.2000000000000002</v>
      </c>
      <c r="L159" s="11">
        <v>1.8</v>
      </c>
      <c r="M159" s="11">
        <v>2.6</v>
      </c>
      <c r="N159" s="11">
        <v>8.6</v>
      </c>
      <c r="O159" s="11">
        <v>4</v>
      </c>
      <c r="P159" s="11">
        <v>8.5</v>
      </c>
    </row>
    <row r="160" spans="1:16" x14ac:dyDescent="0.3">
      <c r="A160" s="8" t="s">
        <v>144</v>
      </c>
      <c r="B160" s="9">
        <v>39083</v>
      </c>
      <c r="C160" s="10" t="s">
        <v>317</v>
      </c>
      <c r="D160" s="11">
        <v>33.799999999999997</v>
      </c>
      <c r="E160" s="11">
        <v>2</v>
      </c>
      <c r="F160" s="11">
        <v>1.5</v>
      </c>
      <c r="G160" s="11">
        <v>3.5</v>
      </c>
      <c r="H160" s="11">
        <v>3.8</v>
      </c>
      <c r="I160" s="11">
        <v>4</v>
      </c>
      <c r="J160" s="11">
        <v>2.1</v>
      </c>
      <c r="K160" s="11">
        <v>1.6</v>
      </c>
      <c r="L160" s="11">
        <v>3.7</v>
      </c>
      <c r="M160" s="11">
        <v>3.7</v>
      </c>
      <c r="N160" s="11">
        <v>8.6</v>
      </c>
      <c r="O160" s="11">
        <v>1.1000000000000001</v>
      </c>
      <c r="P160" s="11">
        <v>8.5</v>
      </c>
    </row>
    <row r="161" spans="1:16" ht="28.8" x14ac:dyDescent="0.3">
      <c r="A161" s="14" t="s">
        <v>168</v>
      </c>
      <c r="B161" s="9">
        <v>39083</v>
      </c>
      <c r="C161" s="10" t="s">
        <v>272</v>
      </c>
      <c r="D161" s="11">
        <v>33.6</v>
      </c>
      <c r="E161" s="11">
        <v>1.3</v>
      </c>
      <c r="F161" s="11">
        <v>1.7</v>
      </c>
      <c r="G161" s="11">
        <v>3.2</v>
      </c>
      <c r="H161" s="11">
        <v>1.8</v>
      </c>
      <c r="I161" s="11">
        <v>5.8</v>
      </c>
      <c r="J161" s="11">
        <v>1</v>
      </c>
      <c r="K161" s="11">
        <v>2.8</v>
      </c>
      <c r="L161" s="11">
        <v>1.4</v>
      </c>
      <c r="M161" s="11">
        <v>4.5999999999999996</v>
      </c>
      <c r="N161" s="11">
        <v>8.6</v>
      </c>
      <c r="O161" s="11">
        <v>5.5</v>
      </c>
      <c r="P161" s="11">
        <v>8.5</v>
      </c>
    </row>
    <row r="162" spans="1:16" x14ac:dyDescent="0.3">
      <c r="A162" s="8" t="s">
        <v>145</v>
      </c>
      <c r="B162" s="9">
        <v>39083</v>
      </c>
      <c r="C162" s="10" t="s">
        <v>336</v>
      </c>
      <c r="D162" s="11">
        <v>33</v>
      </c>
      <c r="E162" s="11">
        <v>1</v>
      </c>
      <c r="F162" s="11">
        <v>4</v>
      </c>
      <c r="G162" s="11">
        <v>3</v>
      </c>
      <c r="H162" s="11">
        <v>3.4</v>
      </c>
      <c r="I162" s="11">
        <v>2.5</v>
      </c>
      <c r="J162" s="11">
        <v>3</v>
      </c>
      <c r="K162" s="11">
        <v>3.6</v>
      </c>
      <c r="L162" s="11">
        <v>1.5</v>
      </c>
      <c r="M162" s="11">
        <v>4</v>
      </c>
      <c r="N162" s="11">
        <v>8.6</v>
      </c>
      <c r="O162" s="11">
        <v>1.1000000000000001</v>
      </c>
      <c r="P162" s="11">
        <v>8.5</v>
      </c>
    </row>
    <row r="163" spans="1:16" x14ac:dyDescent="0.3">
      <c r="A163" s="8" t="s">
        <v>147</v>
      </c>
      <c r="B163" s="9">
        <v>39083</v>
      </c>
      <c r="C163" s="10" t="s">
        <v>337</v>
      </c>
      <c r="D163" s="11">
        <v>32.4</v>
      </c>
      <c r="E163" s="11">
        <v>1</v>
      </c>
      <c r="F163" s="11">
        <v>1.3</v>
      </c>
      <c r="G163" s="11">
        <v>2.5</v>
      </c>
      <c r="H163" s="11">
        <v>3.7</v>
      </c>
      <c r="I163" s="11">
        <v>3.9</v>
      </c>
      <c r="J163" s="11">
        <v>2.1</v>
      </c>
      <c r="K163" s="11">
        <v>1.5</v>
      </c>
      <c r="L163" s="11">
        <v>3.7</v>
      </c>
      <c r="M163" s="11">
        <v>3.3</v>
      </c>
      <c r="N163" s="11">
        <v>8.6</v>
      </c>
      <c r="O163" s="11">
        <v>1.1000000000000001</v>
      </c>
      <c r="P163" s="11">
        <v>8.5</v>
      </c>
    </row>
    <row r="164" spans="1:16" x14ac:dyDescent="0.3">
      <c r="A164" s="8" t="s">
        <v>151</v>
      </c>
      <c r="B164" s="9">
        <v>39083</v>
      </c>
      <c r="C164" s="10" t="s">
        <v>273</v>
      </c>
      <c r="D164" s="11">
        <v>28.6</v>
      </c>
      <c r="E164" s="11">
        <v>1</v>
      </c>
      <c r="F164" s="11">
        <v>1</v>
      </c>
      <c r="G164" s="11">
        <v>4.8</v>
      </c>
      <c r="H164" s="11">
        <v>2</v>
      </c>
      <c r="I164" s="11">
        <v>4</v>
      </c>
      <c r="J164" s="11">
        <v>2.5</v>
      </c>
      <c r="K164" s="11">
        <v>1.3</v>
      </c>
      <c r="L164" s="11">
        <v>1.4</v>
      </c>
      <c r="M164" s="11">
        <v>1.4</v>
      </c>
      <c r="N164" s="11">
        <v>8.6</v>
      </c>
      <c r="O164" s="11">
        <v>4</v>
      </c>
      <c r="P164" s="11">
        <v>8.5</v>
      </c>
    </row>
    <row r="165" spans="1:16" x14ac:dyDescent="0.3">
      <c r="A165" s="8" t="s">
        <v>148</v>
      </c>
      <c r="B165" s="9">
        <v>39083</v>
      </c>
      <c r="C165" s="10" t="s">
        <v>271</v>
      </c>
      <c r="D165" s="11">
        <v>28.5</v>
      </c>
      <c r="E165" s="11">
        <v>1</v>
      </c>
      <c r="F165" s="11">
        <v>1.3</v>
      </c>
      <c r="G165" s="11">
        <v>3.8</v>
      </c>
      <c r="H165" s="11">
        <v>2.6</v>
      </c>
      <c r="I165" s="11">
        <v>2.5</v>
      </c>
      <c r="J165" s="11">
        <v>2</v>
      </c>
      <c r="K165" s="11">
        <v>1.8</v>
      </c>
      <c r="L165" s="11">
        <v>1.2</v>
      </c>
      <c r="M165" s="11">
        <v>3.5</v>
      </c>
      <c r="N165" s="11">
        <v>8.6</v>
      </c>
      <c r="O165" s="11">
        <v>1.1000000000000001</v>
      </c>
      <c r="P165" s="11">
        <v>8.5</v>
      </c>
    </row>
    <row r="166" spans="1:16" x14ac:dyDescent="0.3">
      <c r="A166" s="8" t="s">
        <v>150</v>
      </c>
      <c r="B166" s="9">
        <v>39083</v>
      </c>
      <c r="C166" s="10" t="s">
        <v>270</v>
      </c>
      <c r="D166" s="11">
        <v>28.1</v>
      </c>
      <c r="E166" s="11">
        <v>2</v>
      </c>
      <c r="F166" s="11">
        <v>3</v>
      </c>
      <c r="G166" s="11">
        <v>3.7</v>
      </c>
      <c r="H166" s="11">
        <v>2</v>
      </c>
      <c r="I166" s="11">
        <v>2.5</v>
      </c>
      <c r="J166" s="11">
        <v>1.2</v>
      </c>
      <c r="K166" s="11">
        <v>3.3</v>
      </c>
      <c r="L166" s="11">
        <v>2.6</v>
      </c>
      <c r="M166" s="11">
        <v>1.6</v>
      </c>
      <c r="N166" s="11">
        <v>8.6</v>
      </c>
      <c r="O166" s="11">
        <v>1.8</v>
      </c>
      <c r="P166" s="11">
        <v>8.5</v>
      </c>
    </row>
    <row r="167" spans="1:16" x14ac:dyDescent="0.3">
      <c r="A167" s="8" t="s">
        <v>153</v>
      </c>
      <c r="B167" s="9">
        <v>39083</v>
      </c>
      <c r="C167" s="10" t="s">
        <v>239</v>
      </c>
      <c r="D167" s="11">
        <v>26</v>
      </c>
      <c r="E167" s="11">
        <v>1</v>
      </c>
      <c r="F167" s="11">
        <v>2</v>
      </c>
      <c r="G167" s="11">
        <v>3.5</v>
      </c>
      <c r="H167" s="11">
        <v>1.9</v>
      </c>
      <c r="I167" s="11">
        <v>5</v>
      </c>
      <c r="J167" s="11">
        <v>1.1000000000000001</v>
      </c>
      <c r="K167" s="11">
        <v>1.3</v>
      </c>
      <c r="L167" s="11">
        <v>1.4</v>
      </c>
      <c r="M167" s="11">
        <v>1.5</v>
      </c>
      <c r="N167" s="11">
        <v>8.6</v>
      </c>
      <c r="O167" s="11">
        <v>2.2000000000000002</v>
      </c>
      <c r="P167" s="11">
        <v>8.5</v>
      </c>
    </row>
    <row r="168" spans="1:16" x14ac:dyDescent="0.3">
      <c r="A168" s="8" t="s">
        <v>149</v>
      </c>
      <c r="B168" s="9">
        <v>39083</v>
      </c>
      <c r="C168" s="10" t="s">
        <v>242</v>
      </c>
      <c r="D168" s="11">
        <v>25.5</v>
      </c>
      <c r="E168" s="11">
        <v>1.6</v>
      </c>
      <c r="F168" s="11">
        <v>1.5</v>
      </c>
      <c r="G168" s="11">
        <v>4</v>
      </c>
      <c r="H168" s="11">
        <v>2.1</v>
      </c>
      <c r="I168" s="11">
        <v>4</v>
      </c>
      <c r="J168" s="11">
        <v>1.1000000000000001</v>
      </c>
      <c r="K168" s="11">
        <v>1.5</v>
      </c>
      <c r="L168" s="11">
        <v>1.4</v>
      </c>
      <c r="M168" s="11">
        <v>1.5</v>
      </c>
      <c r="N168" s="11">
        <v>8.6</v>
      </c>
      <c r="O168" s="11">
        <v>1.6</v>
      </c>
      <c r="P168" s="11">
        <v>8.5</v>
      </c>
    </row>
    <row r="169" spans="1:16" x14ac:dyDescent="0.3">
      <c r="A169" s="8" t="s">
        <v>152</v>
      </c>
      <c r="B169" s="9">
        <v>39083</v>
      </c>
      <c r="C169" s="10" t="s">
        <v>240</v>
      </c>
      <c r="D169" s="11">
        <v>25.1</v>
      </c>
      <c r="E169" s="11">
        <v>1</v>
      </c>
      <c r="F169" s="11">
        <v>1.6</v>
      </c>
      <c r="G169" s="11">
        <v>2</v>
      </c>
      <c r="H169" s="11">
        <v>1.5</v>
      </c>
      <c r="I169" s="11">
        <v>5</v>
      </c>
      <c r="J169" s="11">
        <v>2.1</v>
      </c>
      <c r="K169" s="11">
        <v>1.5</v>
      </c>
      <c r="L169" s="11">
        <v>1.2</v>
      </c>
      <c r="M169" s="11">
        <v>2</v>
      </c>
      <c r="N169" s="11">
        <v>8.6</v>
      </c>
      <c r="O169" s="11">
        <v>2.4</v>
      </c>
      <c r="P169" s="11">
        <v>8.5</v>
      </c>
    </row>
    <row r="170" spans="1:16" x14ac:dyDescent="0.3">
      <c r="A170" s="8" t="s">
        <v>154</v>
      </c>
      <c r="B170" s="9">
        <v>39083</v>
      </c>
      <c r="C170" s="10" t="s">
        <v>241</v>
      </c>
      <c r="D170" s="11">
        <v>23.2</v>
      </c>
      <c r="E170" s="11">
        <v>0.9</v>
      </c>
      <c r="F170" s="11">
        <v>1.5</v>
      </c>
      <c r="G170" s="11">
        <v>3</v>
      </c>
      <c r="H170" s="11">
        <v>1.8</v>
      </c>
      <c r="I170" s="11">
        <v>4.4000000000000004</v>
      </c>
      <c r="J170" s="11">
        <v>1.1000000000000001</v>
      </c>
      <c r="K170" s="11">
        <v>1</v>
      </c>
      <c r="L170" s="11">
        <v>1.4</v>
      </c>
      <c r="M170" s="11">
        <v>2.5</v>
      </c>
      <c r="N170" s="11">
        <v>8.6</v>
      </c>
      <c r="O170" s="11">
        <v>1.6</v>
      </c>
      <c r="P170" s="11">
        <v>8.5</v>
      </c>
    </row>
    <row r="171" spans="1:16" x14ac:dyDescent="0.3">
      <c r="A171" s="8" t="s">
        <v>155</v>
      </c>
      <c r="B171" s="9">
        <v>39083</v>
      </c>
      <c r="C171" s="10" t="s">
        <v>238</v>
      </c>
      <c r="D171" s="11">
        <v>22.2</v>
      </c>
      <c r="E171" s="11">
        <v>1</v>
      </c>
      <c r="F171" s="11">
        <v>1</v>
      </c>
      <c r="G171" s="11">
        <v>2.5</v>
      </c>
      <c r="H171" s="11">
        <v>2.1</v>
      </c>
      <c r="I171" s="11">
        <v>1.9</v>
      </c>
      <c r="J171" s="11">
        <v>2</v>
      </c>
      <c r="K171" s="11">
        <v>1</v>
      </c>
      <c r="L171" s="11">
        <v>1.4</v>
      </c>
      <c r="M171" s="11">
        <v>1.5</v>
      </c>
      <c r="N171" s="11">
        <v>8.6</v>
      </c>
      <c r="O171" s="11">
        <v>2.6</v>
      </c>
      <c r="P171" s="11">
        <v>8.5</v>
      </c>
    </row>
    <row r="172" spans="1:16" x14ac:dyDescent="0.3">
      <c r="A172" s="8" t="s">
        <v>157</v>
      </c>
      <c r="B172" s="9">
        <v>39083</v>
      </c>
      <c r="C172" s="10" t="s">
        <v>237</v>
      </c>
      <c r="D172" s="11">
        <v>21.1</v>
      </c>
      <c r="E172" s="11">
        <v>1</v>
      </c>
      <c r="F172" s="11">
        <v>0.8</v>
      </c>
      <c r="G172" s="11">
        <v>1</v>
      </c>
      <c r="H172" s="11">
        <v>3.5</v>
      </c>
      <c r="I172" s="11">
        <v>2.5</v>
      </c>
      <c r="J172" s="11">
        <v>3.2</v>
      </c>
      <c r="K172" s="11">
        <v>1.3</v>
      </c>
      <c r="L172" s="11">
        <v>1.3</v>
      </c>
      <c r="M172" s="11">
        <v>2.1</v>
      </c>
      <c r="N172" s="11">
        <v>8.6</v>
      </c>
      <c r="O172" s="11">
        <v>0.9</v>
      </c>
      <c r="P172" s="11">
        <v>8.5</v>
      </c>
    </row>
    <row r="173" spans="1:16" x14ac:dyDescent="0.3">
      <c r="A173" s="8" t="s">
        <v>156</v>
      </c>
      <c r="B173" s="9">
        <v>39083</v>
      </c>
      <c r="C173" s="10" t="s">
        <v>341</v>
      </c>
      <c r="D173" s="11">
        <v>20.5</v>
      </c>
      <c r="E173" s="11">
        <v>1</v>
      </c>
      <c r="F173" s="11">
        <v>1</v>
      </c>
      <c r="G173" s="11">
        <v>2</v>
      </c>
      <c r="H173" s="11">
        <v>3</v>
      </c>
      <c r="I173" s="11">
        <v>4</v>
      </c>
      <c r="J173" s="11">
        <v>2.1</v>
      </c>
      <c r="K173" s="11">
        <v>1.1000000000000001</v>
      </c>
      <c r="L173" s="11">
        <v>1.4</v>
      </c>
      <c r="M173" s="11">
        <v>1.5</v>
      </c>
      <c r="N173" s="11">
        <v>8.6</v>
      </c>
      <c r="O173" s="11">
        <v>1.2</v>
      </c>
      <c r="P173" s="11">
        <v>8.5</v>
      </c>
    </row>
    <row r="174" spans="1:16" x14ac:dyDescent="0.3">
      <c r="A174" s="8" t="s">
        <v>158</v>
      </c>
      <c r="B174" s="9">
        <v>39083</v>
      </c>
      <c r="C174" s="10" t="s">
        <v>236</v>
      </c>
      <c r="D174" s="11">
        <v>20.2</v>
      </c>
      <c r="E174" s="11">
        <v>1</v>
      </c>
      <c r="F174" s="11">
        <v>1</v>
      </c>
      <c r="G174" s="11">
        <v>2.1</v>
      </c>
      <c r="H174" s="11">
        <v>1.5</v>
      </c>
      <c r="I174" s="11">
        <v>2.6</v>
      </c>
      <c r="J174" s="11">
        <v>2</v>
      </c>
      <c r="K174" s="11">
        <v>1</v>
      </c>
      <c r="L174" s="11">
        <v>1.4</v>
      </c>
      <c r="M174" s="11">
        <v>1.7</v>
      </c>
      <c r="N174" s="11">
        <v>8.6</v>
      </c>
      <c r="O174" s="11">
        <v>1.7</v>
      </c>
      <c r="P174" s="11">
        <v>8.5</v>
      </c>
    </row>
    <row r="175" spans="1:16" x14ac:dyDescent="0.3">
      <c r="A175" s="8" t="s">
        <v>159</v>
      </c>
      <c r="B175" s="9">
        <v>39083</v>
      </c>
      <c r="C175" s="10" t="s">
        <v>330</v>
      </c>
      <c r="D175" s="11">
        <v>19.5</v>
      </c>
      <c r="E175" s="11">
        <v>1</v>
      </c>
      <c r="F175" s="11">
        <v>1</v>
      </c>
      <c r="G175" s="11">
        <v>1</v>
      </c>
      <c r="H175" s="11">
        <v>2.1</v>
      </c>
      <c r="I175" s="11">
        <v>2.9</v>
      </c>
      <c r="J175" s="11">
        <v>2.1</v>
      </c>
      <c r="K175" s="11">
        <v>1.5</v>
      </c>
      <c r="L175" s="11">
        <v>1.8</v>
      </c>
      <c r="M175" s="11">
        <v>1.5</v>
      </c>
      <c r="N175" s="11">
        <v>8.6</v>
      </c>
      <c r="O175" s="11">
        <v>1.5</v>
      </c>
      <c r="P175" s="11">
        <v>8.5</v>
      </c>
    </row>
    <row r="176" spans="1:16" x14ac:dyDescent="0.3">
      <c r="A176" s="8" t="s">
        <v>160</v>
      </c>
      <c r="B176" s="9">
        <v>39083</v>
      </c>
      <c r="C176" s="10" t="s">
        <v>329</v>
      </c>
      <c r="D176" s="11">
        <v>19.3</v>
      </c>
      <c r="E176" s="11">
        <v>0.9</v>
      </c>
      <c r="F176" s="11">
        <v>1</v>
      </c>
      <c r="G176" s="11">
        <v>1</v>
      </c>
      <c r="H176" s="11">
        <v>1.3</v>
      </c>
      <c r="I176" s="11">
        <v>2</v>
      </c>
      <c r="J176" s="11">
        <v>2</v>
      </c>
      <c r="K176" s="11">
        <v>1</v>
      </c>
      <c r="L176" s="11">
        <v>1.2</v>
      </c>
      <c r="M176" s="11">
        <v>1.4</v>
      </c>
      <c r="N176" s="11">
        <v>8.6</v>
      </c>
      <c r="O176" s="11">
        <v>2.8</v>
      </c>
      <c r="P176" s="11">
        <v>8.5</v>
      </c>
    </row>
    <row r="177" spans="1:16" x14ac:dyDescent="0.3">
      <c r="A177" s="8" t="s">
        <v>161</v>
      </c>
      <c r="B177" s="9">
        <v>39083</v>
      </c>
      <c r="C177" s="10" t="s">
        <v>327</v>
      </c>
      <c r="D177" s="11">
        <v>18.5</v>
      </c>
      <c r="E177" s="11">
        <v>0.9</v>
      </c>
      <c r="F177" s="11">
        <v>0.7</v>
      </c>
      <c r="G177" s="11">
        <v>1</v>
      </c>
      <c r="H177" s="11">
        <v>2.2000000000000002</v>
      </c>
      <c r="I177" s="11">
        <v>1.9</v>
      </c>
      <c r="J177" s="11">
        <v>2.1</v>
      </c>
      <c r="K177" s="11">
        <v>0.9</v>
      </c>
      <c r="L177" s="11">
        <v>1.2</v>
      </c>
      <c r="M177" s="11">
        <v>1.5</v>
      </c>
      <c r="N177" s="11">
        <v>8.6</v>
      </c>
      <c r="O177" s="11">
        <v>1.6</v>
      </c>
      <c r="P177" s="11">
        <v>8.5</v>
      </c>
    </row>
    <row r="178" spans="1:16" ht="15" thickBot="1" x14ac:dyDescent="0.35">
      <c r="A178" s="8" t="s">
        <v>162</v>
      </c>
      <c r="B178" s="20">
        <v>39083</v>
      </c>
      <c r="C178" s="21" t="s">
        <v>328</v>
      </c>
      <c r="D178" s="22">
        <v>17.100000000000001</v>
      </c>
      <c r="E178" s="11">
        <v>1</v>
      </c>
      <c r="F178" s="11">
        <v>1</v>
      </c>
      <c r="G178" s="11">
        <v>1</v>
      </c>
      <c r="H178" s="11">
        <v>2.1</v>
      </c>
      <c r="I178" s="11">
        <v>2</v>
      </c>
      <c r="J178" s="11">
        <v>1.1000000000000001</v>
      </c>
      <c r="K178" s="11">
        <v>1</v>
      </c>
      <c r="L178" s="11">
        <v>1.3</v>
      </c>
      <c r="M178" s="11">
        <v>1.5</v>
      </c>
      <c r="N178" s="11">
        <v>8.6</v>
      </c>
      <c r="O178" s="11">
        <v>1.6</v>
      </c>
      <c r="P178" s="11">
        <v>8.5</v>
      </c>
    </row>
    <row r="179" spans="1:16" ht="30" thickBot="1" x14ac:dyDescent="0.35">
      <c r="A179" s="18"/>
      <c r="B179" s="52" t="s">
        <v>350</v>
      </c>
      <c r="C179" s="53"/>
      <c r="D179" s="25">
        <f>AVERAGE(D2:D178)</f>
        <v>70.558757062146881</v>
      </c>
      <c r="E179" s="19"/>
    </row>
    <row r="180" spans="1:16" ht="30" thickBot="1" x14ac:dyDescent="0.35">
      <c r="A180" s="18"/>
      <c r="B180" s="50" t="s">
        <v>351</v>
      </c>
      <c r="C180" s="51"/>
      <c r="D180" s="26">
        <f>MAX(D2:D178)</f>
        <v>113.7</v>
      </c>
      <c r="E180" s="19"/>
    </row>
    <row r="181" spans="1:16" ht="29.4" x14ac:dyDescent="0.3">
      <c r="A181" s="18"/>
      <c r="B181" s="48" t="s">
        <v>352</v>
      </c>
      <c r="C181" s="49"/>
      <c r="D181" s="27">
        <f>MIN(D2:D178)</f>
        <v>17.100000000000001</v>
      </c>
      <c r="E181" s="19"/>
    </row>
    <row r="182" spans="1:16" ht="30" thickBot="1" x14ac:dyDescent="0.35">
      <c r="A182" s="18"/>
      <c r="B182" s="46" t="s">
        <v>353</v>
      </c>
      <c r="C182" s="47"/>
      <c r="D182" s="28">
        <f>COUNTA(A2:A178)</f>
        <v>177</v>
      </c>
      <c r="E182" s="19"/>
    </row>
    <row r="183" spans="1:16" x14ac:dyDescent="0.3">
      <c r="B183" s="23"/>
      <c r="C183" s="24"/>
      <c r="D183" s="17"/>
    </row>
  </sheetData>
  <autoFilter ref="U1:AE11" xr:uid="{00000000-0001-0000-0000-000000000000}"/>
  <sortState xmlns:xlrd2="http://schemas.microsoft.com/office/spreadsheetml/2017/richdata2" ref="A2:P178">
    <sortCondition descending="1" ref="B2:B178"/>
    <sortCondition descending="1" ref="D2:D178"/>
  </sortState>
  <mergeCells count="4">
    <mergeCell ref="B182:C182"/>
    <mergeCell ref="B181:C181"/>
    <mergeCell ref="B180:C180"/>
    <mergeCell ref="B179:C179"/>
  </mergeCells>
  <pageMargins left="0.25" right="0.25" top="0.75" bottom="0.75" header="0.3" footer="0.3"/>
  <pageSetup scale="89" fitToHeight="0" orientation="landscape" r:id="rId1"/>
  <headerFooter>
    <oddFooter>&amp;LFragile States Index &amp;A&amp;Cwww.fragilestatesindex.org&amp;RCopyright (C) The Fund for Peace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ACC160-1894-4B4D-AF62-867CA1B78E95}">
  <dimension ref="A3:B14"/>
  <sheetViews>
    <sheetView workbookViewId="0">
      <selection activeCell="B5" sqref="B5"/>
    </sheetView>
  </sheetViews>
  <sheetFormatPr defaultRowHeight="13.2" x14ac:dyDescent="0.25"/>
  <cols>
    <col min="1" max="1" width="24.109375" bestFit="1" customWidth="1"/>
    <col min="2" max="2" width="12" bestFit="1" customWidth="1"/>
  </cols>
  <sheetData>
    <row r="3" spans="1:2" x14ac:dyDescent="0.25">
      <c r="A3" s="41" t="s">
        <v>367</v>
      </c>
      <c r="B3" t="s">
        <v>369</v>
      </c>
    </row>
    <row r="4" spans="1:2" x14ac:dyDescent="0.25">
      <c r="A4" s="42" t="s">
        <v>1</v>
      </c>
      <c r="B4" s="43">
        <v>113.7</v>
      </c>
    </row>
    <row r="5" spans="1:2" x14ac:dyDescent="0.25">
      <c r="A5" s="42" t="s">
        <v>4</v>
      </c>
      <c r="B5" s="43">
        <v>111.4</v>
      </c>
    </row>
    <row r="6" spans="1:2" x14ac:dyDescent="0.25">
      <c r="A6" s="42" t="s">
        <v>0</v>
      </c>
      <c r="B6" s="43">
        <v>111.1</v>
      </c>
    </row>
    <row r="7" spans="1:2" x14ac:dyDescent="0.25">
      <c r="A7" s="42" t="s">
        <v>2</v>
      </c>
      <c r="B7" s="43">
        <v>110.1</v>
      </c>
    </row>
    <row r="8" spans="1:2" x14ac:dyDescent="0.25">
      <c r="A8" s="42" t="s">
        <v>3</v>
      </c>
      <c r="B8" s="43">
        <v>108.8</v>
      </c>
    </row>
    <row r="9" spans="1:2" x14ac:dyDescent="0.25">
      <c r="A9" s="42" t="s">
        <v>5</v>
      </c>
      <c r="B9" s="43">
        <v>107.3</v>
      </c>
    </row>
    <row r="10" spans="1:2" x14ac:dyDescent="0.25">
      <c r="A10" s="42" t="s">
        <v>184</v>
      </c>
      <c r="B10" s="43">
        <v>105.5</v>
      </c>
    </row>
    <row r="11" spans="1:2" x14ac:dyDescent="0.25">
      <c r="A11" s="42" t="s">
        <v>346</v>
      </c>
      <c r="B11" s="43">
        <v>102.3</v>
      </c>
    </row>
    <row r="12" spans="1:2" x14ac:dyDescent="0.25">
      <c r="A12" s="42" t="s">
        <v>8</v>
      </c>
      <c r="B12" s="43">
        <v>101.3</v>
      </c>
    </row>
    <row r="13" spans="1:2" x14ac:dyDescent="0.25">
      <c r="A13" s="42" t="s">
        <v>7</v>
      </c>
      <c r="B13" s="43">
        <v>101</v>
      </c>
    </row>
    <row r="14" spans="1:2" x14ac:dyDescent="0.25">
      <c r="A14" s="42" t="s">
        <v>368</v>
      </c>
      <c r="B14" s="43">
        <v>1072.5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06F28B-BC33-46C7-A9D8-EB9BA664A61C}">
  <dimension ref="A3:C4"/>
  <sheetViews>
    <sheetView topLeftCell="A2" workbookViewId="0">
      <selection activeCell="I3" sqref="I3"/>
    </sheetView>
  </sheetViews>
  <sheetFormatPr defaultRowHeight="13.2" x14ac:dyDescent="0.25"/>
  <cols>
    <col min="1" max="2" width="31.77734375" bestFit="1" customWidth="1"/>
    <col min="3" max="3" width="29.88671875" bestFit="1" customWidth="1"/>
  </cols>
  <sheetData>
    <row r="3" spans="1:3" x14ac:dyDescent="0.25">
      <c r="A3" t="s">
        <v>370</v>
      </c>
      <c r="B3" t="s">
        <v>371</v>
      </c>
      <c r="C3" t="s">
        <v>372</v>
      </c>
    </row>
    <row r="4" spans="1:3" x14ac:dyDescent="0.25">
      <c r="A4" s="43">
        <v>5.5593220338983045</v>
      </c>
      <c r="B4" s="43">
        <v>5.9497175141242931</v>
      </c>
      <c r="C4" s="43">
        <v>5.839548022598871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D5F687-B1AA-4867-9DEF-2ADF9ACE8ECA}">
  <dimension ref="A3:C8"/>
  <sheetViews>
    <sheetView workbookViewId="0">
      <selection activeCell="F1" sqref="F1"/>
    </sheetView>
  </sheetViews>
  <sheetFormatPr defaultRowHeight="13.2" x14ac:dyDescent="0.25"/>
  <cols>
    <col min="1" max="1" width="22.77734375" bestFit="1" customWidth="1"/>
    <col min="2" max="2" width="32.33203125" bestFit="1" customWidth="1"/>
    <col min="3" max="3" width="40.88671875" bestFit="1" customWidth="1"/>
  </cols>
  <sheetData>
    <row r="3" spans="1:3" x14ac:dyDescent="0.25">
      <c r="A3" t="s">
        <v>373</v>
      </c>
      <c r="B3" t="s">
        <v>374</v>
      </c>
      <c r="C3" t="s">
        <v>375</v>
      </c>
    </row>
    <row r="4" spans="1:3" ht="13.8" thickBot="1" x14ac:dyDescent="0.3">
      <c r="A4" s="43">
        <v>5.6146892655367218</v>
      </c>
      <c r="B4" s="43">
        <v>6.7943502824858806</v>
      </c>
      <c r="C4" s="43">
        <v>5.6423728813559348</v>
      </c>
    </row>
    <row r="5" spans="1:3" x14ac:dyDescent="0.25">
      <c r="A5" s="56" t="s">
        <v>366</v>
      </c>
    </row>
    <row r="6" spans="1:3" ht="13.8" thickBot="1" x14ac:dyDescent="0.3">
      <c r="A6" s="55">
        <f>MAX(A4:C4)</f>
        <v>6.7943502824858806</v>
      </c>
    </row>
    <row r="7" spans="1:3" x14ac:dyDescent="0.25">
      <c r="A7" t="str">
        <f>INDEX(A3:C3,MATCH(MAX(A4:C4),A4:C4,0))</f>
        <v>Average of E2: Economic Inequality</v>
      </c>
    </row>
    <row r="8" spans="1:3" x14ac:dyDescent="0.25">
      <c r="A8" t="s">
        <v>376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642549-2157-4A4E-ACEB-030D919F32CD}">
  <dimension ref="A3:C8"/>
  <sheetViews>
    <sheetView workbookViewId="0">
      <selection activeCell="B13" sqref="B13"/>
    </sheetView>
  </sheetViews>
  <sheetFormatPr defaultRowHeight="13.2" x14ac:dyDescent="0.25"/>
  <cols>
    <col min="1" max="1" width="29.21875" bestFit="1" customWidth="1"/>
    <col min="2" max="2" width="28.109375" bestFit="1" customWidth="1"/>
    <col min="3" max="3" width="27.109375" bestFit="1" customWidth="1"/>
  </cols>
  <sheetData>
    <row r="3" spans="1:3" x14ac:dyDescent="0.25">
      <c r="A3" t="s">
        <v>377</v>
      </c>
      <c r="B3" t="s">
        <v>378</v>
      </c>
      <c r="C3" t="s">
        <v>380</v>
      </c>
    </row>
    <row r="4" spans="1:3" x14ac:dyDescent="0.25">
      <c r="A4" s="43">
        <v>6.4186440677966088</v>
      </c>
      <c r="B4" s="43">
        <v>5.751412429378532</v>
      </c>
      <c r="C4" s="43">
        <v>5.921468926553672</v>
      </c>
    </row>
    <row r="6" spans="1:3" ht="13.8" thickBot="1" x14ac:dyDescent="0.3">
      <c r="A6" s="43"/>
    </row>
    <row r="7" spans="1:3" x14ac:dyDescent="0.25">
      <c r="A7" s="54" t="s">
        <v>366</v>
      </c>
    </row>
    <row r="8" spans="1:3" ht="13.8" thickBot="1" x14ac:dyDescent="0.3">
      <c r="A8" s="55">
        <f>MAX(A4:C4)</f>
        <v>6.4186440677966088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83EDA0-9515-49E5-8DFF-0D03CCE00A11}">
  <dimension ref="A3:B4"/>
  <sheetViews>
    <sheetView workbookViewId="0">
      <selection activeCell="B3" sqref="B3"/>
    </sheetView>
  </sheetViews>
  <sheetFormatPr defaultRowHeight="13.2" x14ac:dyDescent="0.25"/>
  <cols>
    <col min="1" max="1" width="36" bestFit="1" customWidth="1"/>
    <col min="2" max="2" width="31.33203125" bestFit="1" customWidth="1"/>
  </cols>
  <sheetData>
    <row r="3" spans="1:2" x14ac:dyDescent="0.25">
      <c r="A3" t="s">
        <v>381</v>
      </c>
      <c r="B3" t="s">
        <v>382</v>
      </c>
    </row>
    <row r="4" spans="1:2" x14ac:dyDescent="0.25">
      <c r="A4" s="43">
        <v>6.4186440677966088</v>
      </c>
      <c r="B4" s="43">
        <v>4.9807909604519818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C46C74-D272-45B1-9A40-1EE66377F996}">
  <dimension ref="A3:D17"/>
  <sheetViews>
    <sheetView topLeftCell="A2" workbookViewId="0">
      <selection activeCell="A17" sqref="A17"/>
    </sheetView>
  </sheetViews>
  <sheetFormatPr defaultRowHeight="13.2" x14ac:dyDescent="0.25"/>
  <cols>
    <col min="1" max="1" width="33.109375" bestFit="1" customWidth="1"/>
    <col min="3" max="3" width="8.6640625" bestFit="1" customWidth="1"/>
  </cols>
  <sheetData>
    <row r="3" spans="1:4" x14ac:dyDescent="0.25">
      <c r="A3" t="s">
        <v>383</v>
      </c>
    </row>
    <row r="4" spans="1:4" ht="13.8" thickBot="1" x14ac:dyDescent="0.3">
      <c r="A4" s="43">
        <v>5.6677966101694919</v>
      </c>
    </row>
    <row r="5" spans="1:4" ht="13.8" thickBot="1" x14ac:dyDescent="0.3">
      <c r="C5" s="60" t="s">
        <v>384</v>
      </c>
      <c r="D5" s="61" t="s">
        <v>379</v>
      </c>
    </row>
    <row r="6" spans="1:4" ht="13.8" thickBot="1" x14ac:dyDescent="0.3">
      <c r="C6" s="62" t="s">
        <v>361</v>
      </c>
      <c r="D6" s="63">
        <v>5.6</v>
      </c>
    </row>
    <row r="7" spans="1:4" ht="13.8" thickBot="1" x14ac:dyDescent="0.3">
      <c r="C7" s="62" t="s">
        <v>385</v>
      </c>
      <c r="D7" s="63">
        <v>5.9</v>
      </c>
    </row>
    <row r="8" spans="1:4" ht="13.8" thickBot="1" x14ac:dyDescent="0.3">
      <c r="A8" s="59" t="s">
        <v>396</v>
      </c>
      <c r="C8" s="62" t="s">
        <v>386</v>
      </c>
      <c r="D8" s="63">
        <v>5.8</v>
      </c>
    </row>
    <row r="9" spans="1:4" ht="13.8" thickBot="1" x14ac:dyDescent="0.3">
      <c r="A9" s="74">
        <f>AVERAGE(5.6,5.9,5.8,5.6,6.8,5.6,6.4,5.8,5.9,6.4,5,5.7)</f>
        <v>5.8749999999999991</v>
      </c>
      <c r="C9" s="62" t="s">
        <v>387</v>
      </c>
      <c r="D9" s="63">
        <v>5.6</v>
      </c>
    </row>
    <row r="10" spans="1:4" ht="13.8" thickBot="1" x14ac:dyDescent="0.3">
      <c r="A10" s="58" t="s">
        <v>423</v>
      </c>
      <c r="C10" s="62" t="s">
        <v>388</v>
      </c>
      <c r="D10" s="63">
        <v>6.8</v>
      </c>
    </row>
    <row r="11" spans="1:4" ht="13.8" thickBot="1" x14ac:dyDescent="0.3">
      <c r="A11" s="75">
        <f>MAX(C5:D17)</f>
        <v>6.8</v>
      </c>
      <c r="C11" s="62" t="s">
        <v>389</v>
      </c>
      <c r="D11" s="63">
        <v>5.6</v>
      </c>
    </row>
    <row r="12" spans="1:4" ht="13.8" thickBot="1" x14ac:dyDescent="0.3">
      <c r="A12" s="58" t="s">
        <v>424</v>
      </c>
      <c r="C12" s="62" t="s">
        <v>390</v>
      </c>
      <c r="D12" s="63">
        <v>6.4</v>
      </c>
    </row>
    <row r="13" spans="1:4" ht="13.8" thickBot="1" x14ac:dyDescent="0.3">
      <c r="A13" s="75">
        <f>MIN(C5:D17)</f>
        <v>5</v>
      </c>
      <c r="C13" s="62" t="s">
        <v>391</v>
      </c>
      <c r="D13" s="63">
        <v>5.8</v>
      </c>
    </row>
    <row r="14" spans="1:4" ht="13.8" thickBot="1" x14ac:dyDescent="0.3">
      <c r="C14" s="62" t="s">
        <v>392</v>
      </c>
      <c r="D14" s="63">
        <v>5.9</v>
      </c>
    </row>
    <row r="15" spans="1:4" ht="13.8" thickBot="1" x14ac:dyDescent="0.3">
      <c r="C15" s="62" t="s">
        <v>393</v>
      </c>
      <c r="D15" s="63">
        <v>6.4</v>
      </c>
    </row>
    <row r="16" spans="1:4" ht="13.8" thickBot="1" x14ac:dyDescent="0.3">
      <c r="C16" s="62" t="s">
        <v>394</v>
      </c>
      <c r="D16" s="63">
        <v>5</v>
      </c>
    </row>
    <row r="17" spans="3:4" ht="13.8" thickBot="1" x14ac:dyDescent="0.3">
      <c r="C17" s="62" t="s">
        <v>395</v>
      </c>
      <c r="D17" s="63">
        <v>5.7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2</vt:i4>
      </vt:variant>
    </vt:vector>
  </HeadingPairs>
  <TitlesOfParts>
    <vt:vector size="10" baseType="lpstr">
      <vt:lpstr>Dashboard</vt:lpstr>
      <vt:lpstr>📋 Raw Data</vt:lpstr>
      <vt:lpstr>Total Score</vt:lpstr>
      <vt:lpstr>📊 C Analysis</vt:lpstr>
      <vt:lpstr>📊 E Analysis</vt:lpstr>
      <vt:lpstr>📊 P Analysis</vt:lpstr>
      <vt:lpstr>📊 S Analysis</vt:lpstr>
      <vt:lpstr>📊 X1 Analysis &amp; Final Analysis</vt:lpstr>
      <vt:lpstr>'📋 Raw Data'!Print_Area</vt:lpstr>
      <vt:lpstr>'📋 Raw Data'!Print_Titles</vt:lpstr>
    </vt:vector>
  </TitlesOfParts>
  <Company>FFP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NHaken</dc:creator>
  <cp:lastModifiedBy>Khushi Vashisth</cp:lastModifiedBy>
  <cp:lastPrinted>2017-04-11T15:30:15Z</cp:lastPrinted>
  <dcterms:created xsi:type="dcterms:W3CDTF">2008-04-11T20:55:49Z</dcterms:created>
  <dcterms:modified xsi:type="dcterms:W3CDTF">2026-08-10T08:40:58Z</dcterms:modified>
</cp:coreProperties>
</file>